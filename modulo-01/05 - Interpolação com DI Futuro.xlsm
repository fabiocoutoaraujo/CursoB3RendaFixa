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facouto\OneDrive\Documentos\Curso de Renda Fixa B3\Módulo 1\Estudo\"/>
    </mc:Choice>
  </mc:AlternateContent>
  <bookViews>
    <workbookView xWindow="0" yWindow="0" windowWidth="20490" windowHeight="7905" activeTab="3"/>
  </bookViews>
  <sheets>
    <sheet name="Holidays" sheetId="20" r:id="rId1"/>
    <sheet name="Exercício 1" sheetId="19" r:id="rId2"/>
    <sheet name="Extra - Exercício 11" sheetId="21" r:id="rId3"/>
    <sheet name="Extra - Exercício 12" sheetId="22" r:id="rId4"/>
  </sheets>
  <functionGroups builtInGroupCount="18"/>
  <definedNames>
    <definedName name="feriadosAnbima">#REF!</definedName>
    <definedName name="holidays">Holidays!$A$2:$A$937</definedName>
  </definedNames>
  <calcPr calcId="152511"/>
</workbook>
</file>

<file path=xl/calcChain.xml><?xml version="1.0" encoding="utf-8"?>
<calcChain xmlns="http://schemas.openxmlformats.org/spreadsheetml/2006/main">
  <c r="H3" i="22" l="1"/>
  <c r="J3" i="22"/>
  <c r="J7" i="22"/>
  <c r="J6" i="22"/>
  <c r="I7" i="22"/>
  <c r="I6" i="22"/>
  <c r="E2" i="22"/>
  <c r="J4" i="22"/>
  <c r="J2" i="22"/>
  <c r="E2" i="21" l="1"/>
  <c r="H3" i="21"/>
  <c r="J3" i="21"/>
  <c r="J7" i="21"/>
  <c r="J6" i="21"/>
  <c r="I7" i="21"/>
  <c r="I6" i="21"/>
  <c r="J4" i="21"/>
  <c r="J2" i="21"/>
  <c r="I4" i="22"/>
  <c r="I3" i="22"/>
  <c r="I2" i="22"/>
  <c r="I3" i="21"/>
  <c r="I4" i="21"/>
  <c r="I2" i="21"/>
  <c r="C2" i="21"/>
  <c r="C2" i="22"/>
  <c r="I3" i="19"/>
  <c r="I4" i="19"/>
  <c r="I2" i="19"/>
  <c r="C2" i="19"/>
  <c r="J2" i="19" l="1"/>
  <c r="I6" i="19"/>
  <c r="J4" i="19"/>
  <c r="J6" i="19" s="1"/>
  <c r="J7" i="19" s="1"/>
  <c r="I7" i="19"/>
  <c r="J3" i="19" l="1"/>
  <c r="H3" i="19" s="1"/>
  <c r="E2" i="19" s="1"/>
</calcChain>
</file>

<file path=xl/sharedStrings.xml><?xml version="1.0" encoding="utf-8"?>
<sst xmlns="http://schemas.openxmlformats.org/spreadsheetml/2006/main" count="1909" uniqueCount="35">
  <si>
    <t>quinta-feira</t>
  </si>
  <si>
    <t>Natal</t>
  </si>
  <si>
    <t>Confraternização Universal</t>
  </si>
  <si>
    <t>segunda-feira</t>
  </si>
  <si>
    <t>terça-feira</t>
  </si>
  <si>
    <t>Carnaval</t>
  </si>
  <si>
    <t>sexta-feira</t>
  </si>
  <si>
    <t>Paixão de Cristo</t>
  </si>
  <si>
    <t>Tiradentes</t>
  </si>
  <si>
    <t>Dia do Trabalho</t>
  </si>
  <si>
    <t>Corpus Christi</t>
  </si>
  <si>
    <t>Independência do Brasil</t>
  </si>
  <si>
    <t>Finados</t>
  </si>
  <si>
    <t>quarta-feira</t>
  </si>
  <si>
    <t>Proclamação da República</t>
  </si>
  <si>
    <t>Data</t>
  </si>
  <si>
    <t>Dia da Semana</t>
  </si>
  <si>
    <t>Feriado</t>
  </si>
  <si>
    <t>sábado</t>
  </si>
  <si>
    <r>
      <t>Nossa Sr.</t>
    </r>
    <r>
      <rPr>
        <vertAlign val="superscript"/>
        <sz val="9"/>
        <color indexed="8"/>
        <rFont val="Arial"/>
        <family val="2"/>
      </rPr>
      <t>a</t>
    </r>
    <r>
      <rPr>
        <sz val="9"/>
        <color indexed="8"/>
        <rFont val="Arial"/>
        <family val="2"/>
      </rPr>
      <t xml:space="preserve"> Aparecida - Padroeira do Brasil</t>
    </r>
  </si>
  <si>
    <t>domingo</t>
  </si>
  <si>
    <t>Compra</t>
  </si>
  <si>
    <t>Vencimento</t>
  </si>
  <si>
    <t>Fonte: ANBIMA</t>
  </si>
  <si>
    <t>LTN</t>
  </si>
  <si>
    <t>DU</t>
  </si>
  <si>
    <t>PU</t>
  </si>
  <si>
    <t>DI Futuro</t>
  </si>
  <si>
    <t>Fator</t>
  </si>
  <si>
    <t>dez/18 &gt; abr/19</t>
  </si>
  <si>
    <t>dez/18 &gt; jan/19</t>
  </si>
  <si>
    <t>jan/19 &gt; jul/19</t>
  </si>
  <si>
    <t>jan/19 &gt; abr/19</t>
  </si>
  <si>
    <t>out/19 &gt; abr/20</t>
  </si>
  <si>
    <t>out/19 &gt; jan/20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</si>
</sst>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-* #,##0.00_-;\-* #,##0.00_-;_-* &quot;-&quot;??_-;_-@_-"/>
    <numFmt numFmtId="165" formatCode="0.000"/>
    <numFmt numFmtId="167" formatCode="0.0000000"/>
  </numFmts>
  <fonts count="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9"/>
      <color indexed="8"/>
      <name val="Arial"/>
      <family val="2"/>
    </font>
    <font>
      <sz val="9"/>
      <color indexed="8"/>
      <name val="Arial"/>
      <family val="2"/>
    </font>
    <font>
      <vertAlign val="superscript"/>
      <sz val="9"/>
      <color indexed="8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</font>
  </fonts>
  <fills count="6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43" fontId="5" fillId="0" borderId="0" applyFont="0" applyFill="0" applyBorder="0" applyAlignment="0" applyProtection="0"/>
    <xf numFmtId="0" fontId="7" fillId="0" borderId="0"/>
  </cellStyleXfs>
  <cellXfs count="23">
    <xf numFmtId="0" fontId="0" fillId="0" borderId="0" xfId="0"/>
    <xf numFmtId="0" fontId="0" fillId="0" borderId="0" xfId="0" applyAlignment="1"/>
    <xf numFmtId="0" fontId="2" fillId="4" borderId="1" xfId="0" applyFont="1" applyFill="1" applyBorder="1" applyAlignment="1">
      <alignment horizontal="center"/>
    </xf>
    <xf numFmtId="0" fontId="7" fillId="0" borderId="0" xfId="3"/>
    <xf numFmtId="14" fontId="3" fillId="2" borderId="1" xfId="0" applyNumberFormat="1" applyFont="1" applyFill="1" applyBorder="1" applyAlignment="1">
      <alignment horizontal="left"/>
    </xf>
    <xf numFmtId="0" fontId="3" fillId="2" borderId="1" xfId="0" applyFont="1" applyFill="1" applyBorder="1" applyAlignment="1">
      <alignment horizontal="left"/>
    </xf>
    <xf numFmtId="14" fontId="3" fillId="3" borderId="1" xfId="0" applyNumberFormat="1" applyFont="1" applyFill="1" applyBorder="1" applyAlignment="1">
      <alignment horizontal="left"/>
    </xf>
    <xf numFmtId="0" fontId="3" fillId="3" borderId="1" xfId="0" applyFont="1" applyFill="1" applyBorder="1" applyAlignment="1">
      <alignment horizontal="left"/>
    </xf>
    <xf numFmtId="0" fontId="2" fillId="0" borderId="0" xfId="0" applyFont="1" applyAlignment="1"/>
    <xf numFmtId="0" fontId="6" fillId="0" borderId="0" xfId="0" applyFont="1" applyAlignment="1">
      <alignment horizontal="center"/>
    </xf>
    <xf numFmtId="15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43" fontId="0" fillId="0" borderId="0" xfId="2" applyFont="1" applyAlignment="1">
      <alignment horizontal="right"/>
    </xf>
    <xf numFmtId="17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6" fillId="5" borderId="0" xfId="0" applyFont="1" applyFill="1" applyAlignment="1">
      <alignment horizontal="center"/>
    </xf>
    <xf numFmtId="43" fontId="6" fillId="5" borderId="0" xfId="2" applyFont="1" applyFill="1" applyAlignment="1">
      <alignment horizontal="right"/>
    </xf>
    <xf numFmtId="167" fontId="0" fillId="5" borderId="0" xfId="0" applyNumberFormat="1" applyFill="1"/>
    <xf numFmtId="165" fontId="0" fillId="5" borderId="0" xfId="0" applyNumberFormat="1" applyFill="1" applyAlignment="1">
      <alignment horizontal="center"/>
    </xf>
    <xf numFmtId="0" fontId="0" fillId="5" borderId="0" xfId="0" applyFill="1" applyAlignment="1">
      <alignment horizontal="center"/>
    </xf>
    <xf numFmtId="0" fontId="0" fillId="5" borderId="0" xfId="0" applyFill="1"/>
    <xf numFmtId="2" fontId="0" fillId="0" borderId="0" xfId="0" applyNumberFormat="1" applyAlignment="1">
      <alignment horizontal="center"/>
    </xf>
    <xf numFmtId="2" fontId="0" fillId="5" borderId="0" xfId="0" applyNumberFormat="1" applyFill="1" applyAlignment="1">
      <alignment horizontal="center"/>
    </xf>
  </cellXfs>
  <cellStyles count="4">
    <cellStyle name="Normal" xfId="0" builtinId="0"/>
    <cellStyle name="Normal 2" xfId="1"/>
    <cellStyle name="Normal 2 2" xfId="3"/>
    <cellStyle name="Vírgula" xfId="2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D938"/>
  <sheetViews>
    <sheetView workbookViewId="0">
      <selection activeCell="B1" sqref="B1"/>
    </sheetView>
  </sheetViews>
  <sheetFormatPr defaultRowHeight="15" x14ac:dyDescent="0.25"/>
  <cols>
    <col min="1" max="1" width="12.7109375" style="3" bestFit="1" customWidth="1"/>
    <col min="2" max="2" width="13.28515625" style="3" bestFit="1" customWidth="1"/>
    <col min="3" max="3" width="35.140625" style="3" bestFit="1" customWidth="1"/>
    <col min="4" max="4" width="9.5703125" customWidth="1"/>
    <col min="5" max="250" width="9.140625" style="3"/>
    <col min="251" max="251" width="11.28515625" style="3" customWidth="1"/>
    <col min="252" max="252" width="18" style="3" customWidth="1"/>
    <col min="253" max="253" width="45.140625" style="3" customWidth="1"/>
    <col min="254" max="506" width="9.140625" style="3"/>
    <col min="507" max="507" width="11.28515625" style="3" customWidth="1"/>
    <col min="508" max="508" width="18" style="3" customWidth="1"/>
    <col min="509" max="509" width="45.140625" style="3" customWidth="1"/>
    <col min="510" max="762" width="9.140625" style="3"/>
    <col min="763" max="763" width="11.28515625" style="3" customWidth="1"/>
    <col min="764" max="764" width="18" style="3" customWidth="1"/>
    <col min="765" max="765" width="45.140625" style="3" customWidth="1"/>
    <col min="766" max="1018" width="9.140625" style="3"/>
    <col min="1019" max="1019" width="11.28515625" style="3" customWidth="1"/>
    <col min="1020" max="1020" width="18" style="3" customWidth="1"/>
    <col min="1021" max="1021" width="45.140625" style="3" customWidth="1"/>
    <col min="1022" max="1274" width="9.140625" style="3"/>
    <col min="1275" max="1275" width="11.28515625" style="3" customWidth="1"/>
    <col min="1276" max="1276" width="18" style="3" customWidth="1"/>
    <col min="1277" max="1277" width="45.140625" style="3" customWidth="1"/>
    <col min="1278" max="1530" width="9.140625" style="3"/>
    <col min="1531" max="1531" width="11.28515625" style="3" customWidth="1"/>
    <col min="1532" max="1532" width="18" style="3" customWidth="1"/>
    <col min="1533" max="1533" width="45.140625" style="3" customWidth="1"/>
    <col min="1534" max="1786" width="9.140625" style="3"/>
    <col min="1787" max="1787" width="11.28515625" style="3" customWidth="1"/>
    <col min="1788" max="1788" width="18" style="3" customWidth="1"/>
    <col min="1789" max="1789" width="45.140625" style="3" customWidth="1"/>
    <col min="1790" max="2042" width="9.140625" style="3"/>
    <col min="2043" max="2043" width="11.28515625" style="3" customWidth="1"/>
    <col min="2044" max="2044" width="18" style="3" customWidth="1"/>
    <col min="2045" max="2045" width="45.140625" style="3" customWidth="1"/>
    <col min="2046" max="2298" width="9.140625" style="3"/>
    <col min="2299" max="2299" width="11.28515625" style="3" customWidth="1"/>
    <col min="2300" max="2300" width="18" style="3" customWidth="1"/>
    <col min="2301" max="2301" width="45.140625" style="3" customWidth="1"/>
    <col min="2302" max="2554" width="9.140625" style="3"/>
    <col min="2555" max="2555" width="11.28515625" style="3" customWidth="1"/>
    <col min="2556" max="2556" width="18" style="3" customWidth="1"/>
    <col min="2557" max="2557" width="45.140625" style="3" customWidth="1"/>
    <col min="2558" max="2810" width="9.140625" style="3"/>
    <col min="2811" max="2811" width="11.28515625" style="3" customWidth="1"/>
    <col min="2812" max="2812" width="18" style="3" customWidth="1"/>
    <col min="2813" max="2813" width="45.140625" style="3" customWidth="1"/>
    <col min="2814" max="3066" width="9.140625" style="3"/>
    <col min="3067" max="3067" width="11.28515625" style="3" customWidth="1"/>
    <col min="3068" max="3068" width="18" style="3" customWidth="1"/>
    <col min="3069" max="3069" width="45.140625" style="3" customWidth="1"/>
    <col min="3070" max="3322" width="9.140625" style="3"/>
    <col min="3323" max="3323" width="11.28515625" style="3" customWidth="1"/>
    <col min="3324" max="3324" width="18" style="3" customWidth="1"/>
    <col min="3325" max="3325" width="45.140625" style="3" customWidth="1"/>
    <col min="3326" max="3578" width="9.140625" style="3"/>
    <col min="3579" max="3579" width="11.28515625" style="3" customWidth="1"/>
    <col min="3580" max="3580" width="18" style="3" customWidth="1"/>
    <col min="3581" max="3581" width="45.140625" style="3" customWidth="1"/>
    <col min="3582" max="3834" width="9.140625" style="3"/>
    <col min="3835" max="3835" width="11.28515625" style="3" customWidth="1"/>
    <col min="3836" max="3836" width="18" style="3" customWidth="1"/>
    <col min="3837" max="3837" width="45.140625" style="3" customWidth="1"/>
    <col min="3838" max="4090" width="9.140625" style="3"/>
    <col min="4091" max="4091" width="11.28515625" style="3" customWidth="1"/>
    <col min="4092" max="4092" width="18" style="3" customWidth="1"/>
    <col min="4093" max="4093" width="45.140625" style="3" customWidth="1"/>
    <col min="4094" max="4346" width="9.140625" style="3"/>
    <col min="4347" max="4347" width="11.28515625" style="3" customWidth="1"/>
    <col min="4348" max="4348" width="18" style="3" customWidth="1"/>
    <col min="4349" max="4349" width="45.140625" style="3" customWidth="1"/>
    <col min="4350" max="4602" width="9.140625" style="3"/>
    <col min="4603" max="4603" width="11.28515625" style="3" customWidth="1"/>
    <col min="4604" max="4604" width="18" style="3" customWidth="1"/>
    <col min="4605" max="4605" width="45.140625" style="3" customWidth="1"/>
    <col min="4606" max="4858" width="9.140625" style="3"/>
    <col min="4859" max="4859" width="11.28515625" style="3" customWidth="1"/>
    <col min="4860" max="4860" width="18" style="3" customWidth="1"/>
    <col min="4861" max="4861" width="45.140625" style="3" customWidth="1"/>
    <col min="4862" max="5114" width="9.140625" style="3"/>
    <col min="5115" max="5115" width="11.28515625" style="3" customWidth="1"/>
    <col min="5116" max="5116" width="18" style="3" customWidth="1"/>
    <col min="5117" max="5117" width="45.140625" style="3" customWidth="1"/>
    <col min="5118" max="5370" width="9.140625" style="3"/>
    <col min="5371" max="5371" width="11.28515625" style="3" customWidth="1"/>
    <col min="5372" max="5372" width="18" style="3" customWidth="1"/>
    <col min="5373" max="5373" width="45.140625" style="3" customWidth="1"/>
    <col min="5374" max="5626" width="9.140625" style="3"/>
    <col min="5627" max="5627" width="11.28515625" style="3" customWidth="1"/>
    <col min="5628" max="5628" width="18" style="3" customWidth="1"/>
    <col min="5629" max="5629" width="45.140625" style="3" customWidth="1"/>
    <col min="5630" max="5882" width="9.140625" style="3"/>
    <col min="5883" max="5883" width="11.28515625" style="3" customWidth="1"/>
    <col min="5884" max="5884" width="18" style="3" customWidth="1"/>
    <col min="5885" max="5885" width="45.140625" style="3" customWidth="1"/>
    <col min="5886" max="6138" width="9.140625" style="3"/>
    <col min="6139" max="6139" width="11.28515625" style="3" customWidth="1"/>
    <col min="6140" max="6140" width="18" style="3" customWidth="1"/>
    <col min="6141" max="6141" width="45.140625" style="3" customWidth="1"/>
    <col min="6142" max="6394" width="9.140625" style="3"/>
    <col min="6395" max="6395" width="11.28515625" style="3" customWidth="1"/>
    <col min="6396" max="6396" width="18" style="3" customWidth="1"/>
    <col min="6397" max="6397" width="45.140625" style="3" customWidth="1"/>
    <col min="6398" max="6650" width="9.140625" style="3"/>
    <col min="6651" max="6651" width="11.28515625" style="3" customWidth="1"/>
    <col min="6652" max="6652" width="18" style="3" customWidth="1"/>
    <col min="6653" max="6653" width="45.140625" style="3" customWidth="1"/>
    <col min="6654" max="6906" width="9.140625" style="3"/>
    <col min="6907" max="6907" width="11.28515625" style="3" customWidth="1"/>
    <col min="6908" max="6908" width="18" style="3" customWidth="1"/>
    <col min="6909" max="6909" width="45.140625" style="3" customWidth="1"/>
    <col min="6910" max="7162" width="9.140625" style="3"/>
    <col min="7163" max="7163" width="11.28515625" style="3" customWidth="1"/>
    <col min="7164" max="7164" width="18" style="3" customWidth="1"/>
    <col min="7165" max="7165" width="45.140625" style="3" customWidth="1"/>
    <col min="7166" max="7418" width="9.140625" style="3"/>
    <col min="7419" max="7419" width="11.28515625" style="3" customWidth="1"/>
    <col min="7420" max="7420" width="18" style="3" customWidth="1"/>
    <col min="7421" max="7421" width="45.140625" style="3" customWidth="1"/>
    <col min="7422" max="7674" width="9.140625" style="3"/>
    <col min="7675" max="7675" width="11.28515625" style="3" customWidth="1"/>
    <col min="7676" max="7676" width="18" style="3" customWidth="1"/>
    <col min="7677" max="7677" width="45.140625" style="3" customWidth="1"/>
    <col min="7678" max="7930" width="9.140625" style="3"/>
    <col min="7931" max="7931" width="11.28515625" style="3" customWidth="1"/>
    <col min="7932" max="7932" width="18" style="3" customWidth="1"/>
    <col min="7933" max="7933" width="45.140625" style="3" customWidth="1"/>
    <col min="7934" max="8186" width="9.140625" style="3"/>
    <col min="8187" max="8187" width="11.28515625" style="3" customWidth="1"/>
    <col min="8188" max="8188" width="18" style="3" customWidth="1"/>
    <col min="8189" max="8189" width="45.140625" style="3" customWidth="1"/>
    <col min="8190" max="8442" width="9.140625" style="3"/>
    <col min="8443" max="8443" width="11.28515625" style="3" customWidth="1"/>
    <col min="8444" max="8444" width="18" style="3" customWidth="1"/>
    <col min="8445" max="8445" width="45.140625" style="3" customWidth="1"/>
    <col min="8446" max="8698" width="9.140625" style="3"/>
    <col min="8699" max="8699" width="11.28515625" style="3" customWidth="1"/>
    <col min="8700" max="8700" width="18" style="3" customWidth="1"/>
    <col min="8701" max="8701" width="45.140625" style="3" customWidth="1"/>
    <col min="8702" max="8954" width="9.140625" style="3"/>
    <col min="8955" max="8955" width="11.28515625" style="3" customWidth="1"/>
    <col min="8956" max="8956" width="18" style="3" customWidth="1"/>
    <col min="8957" max="8957" width="45.140625" style="3" customWidth="1"/>
    <col min="8958" max="9210" width="9.140625" style="3"/>
    <col min="9211" max="9211" width="11.28515625" style="3" customWidth="1"/>
    <col min="9212" max="9212" width="18" style="3" customWidth="1"/>
    <col min="9213" max="9213" width="45.140625" style="3" customWidth="1"/>
    <col min="9214" max="9466" width="9.140625" style="3"/>
    <col min="9467" max="9467" width="11.28515625" style="3" customWidth="1"/>
    <col min="9468" max="9468" width="18" style="3" customWidth="1"/>
    <col min="9469" max="9469" width="45.140625" style="3" customWidth="1"/>
    <col min="9470" max="9722" width="9.140625" style="3"/>
    <col min="9723" max="9723" width="11.28515625" style="3" customWidth="1"/>
    <col min="9724" max="9724" width="18" style="3" customWidth="1"/>
    <col min="9725" max="9725" width="45.140625" style="3" customWidth="1"/>
    <col min="9726" max="9978" width="9.140625" style="3"/>
    <col min="9979" max="9979" width="11.28515625" style="3" customWidth="1"/>
    <col min="9980" max="9980" width="18" style="3" customWidth="1"/>
    <col min="9981" max="9981" width="45.140625" style="3" customWidth="1"/>
    <col min="9982" max="10234" width="9.140625" style="3"/>
    <col min="10235" max="10235" width="11.28515625" style="3" customWidth="1"/>
    <col min="10236" max="10236" width="18" style="3" customWidth="1"/>
    <col min="10237" max="10237" width="45.140625" style="3" customWidth="1"/>
    <col min="10238" max="10490" width="9.140625" style="3"/>
    <col min="10491" max="10491" width="11.28515625" style="3" customWidth="1"/>
    <col min="10492" max="10492" width="18" style="3" customWidth="1"/>
    <col min="10493" max="10493" width="45.140625" style="3" customWidth="1"/>
    <col min="10494" max="10746" width="9.140625" style="3"/>
    <col min="10747" max="10747" width="11.28515625" style="3" customWidth="1"/>
    <col min="10748" max="10748" width="18" style="3" customWidth="1"/>
    <col min="10749" max="10749" width="45.140625" style="3" customWidth="1"/>
    <col min="10750" max="11002" width="9.140625" style="3"/>
    <col min="11003" max="11003" width="11.28515625" style="3" customWidth="1"/>
    <col min="11004" max="11004" width="18" style="3" customWidth="1"/>
    <col min="11005" max="11005" width="45.140625" style="3" customWidth="1"/>
    <col min="11006" max="11258" width="9.140625" style="3"/>
    <col min="11259" max="11259" width="11.28515625" style="3" customWidth="1"/>
    <col min="11260" max="11260" width="18" style="3" customWidth="1"/>
    <col min="11261" max="11261" width="45.140625" style="3" customWidth="1"/>
    <col min="11262" max="11514" width="9.140625" style="3"/>
    <col min="11515" max="11515" width="11.28515625" style="3" customWidth="1"/>
    <col min="11516" max="11516" width="18" style="3" customWidth="1"/>
    <col min="11517" max="11517" width="45.140625" style="3" customWidth="1"/>
    <col min="11518" max="11770" width="9.140625" style="3"/>
    <col min="11771" max="11771" width="11.28515625" style="3" customWidth="1"/>
    <col min="11772" max="11772" width="18" style="3" customWidth="1"/>
    <col min="11773" max="11773" width="45.140625" style="3" customWidth="1"/>
    <col min="11774" max="12026" width="9.140625" style="3"/>
    <col min="12027" max="12027" width="11.28515625" style="3" customWidth="1"/>
    <col min="12028" max="12028" width="18" style="3" customWidth="1"/>
    <col min="12029" max="12029" width="45.140625" style="3" customWidth="1"/>
    <col min="12030" max="12282" width="9.140625" style="3"/>
    <col min="12283" max="12283" width="11.28515625" style="3" customWidth="1"/>
    <col min="12284" max="12284" width="18" style="3" customWidth="1"/>
    <col min="12285" max="12285" width="45.140625" style="3" customWidth="1"/>
    <col min="12286" max="12538" width="9.140625" style="3"/>
    <col min="12539" max="12539" width="11.28515625" style="3" customWidth="1"/>
    <col min="12540" max="12540" width="18" style="3" customWidth="1"/>
    <col min="12541" max="12541" width="45.140625" style="3" customWidth="1"/>
    <col min="12542" max="12794" width="9.140625" style="3"/>
    <col min="12795" max="12795" width="11.28515625" style="3" customWidth="1"/>
    <col min="12796" max="12796" width="18" style="3" customWidth="1"/>
    <col min="12797" max="12797" width="45.140625" style="3" customWidth="1"/>
    <col min="12798" max="13050" width="9.140625" style="3"/>
    <col min="13051" max="13051" width="11.28515625" style="3" customWidth="1"/>
    <col min="13052" max="13052" width="18" style="3" customWidth="1"/>
    <col min="13053" max="13053" width="45.140625" style="3" customWidth="1"/>
    <col min="13054" max="13306" width="9.140625" style="3"/>
    <col min="13307" max="13307" width="11.28515625" style="3" customWidth="1"/>
    <col min="13308" max="13308" width="18" style="3" customWidth="1"/>
    <col min="13309" max="13309" width="45.140625" style="3" customWidth="1"/>
    <col min="13310" max="13562" width="9.140625" style="3"/>
    <col min="13563" max="13563" width="11.28515625" style="3" customWidth="1"/>
    <col min="13564" max="13564" width="18" style="3" customWidth="1"/>
    <col min="13565" max="13565" width="45.140625" style="3" customWidth="1"/>
    <col min="13566" max="13818" width="9.140625" style="3"/>
    <col min="13819" max="13819" width="11.28515625" style="3" customWidth="1"/>
    <col min="13820" max="13820" width="18" style="3" customWidth="1"/>
    <col min="13821" max="13821" width="45.140625" style="3" customWidth="1"/>
    <col min="13822" max="14074" width="9.140625" style="3"/>
    <col min="14075" max="14075" width="11.28515625" style="3" customWidth="1"/>
    <col min="14076" max="14076" width="18" style="3" customWidth="1"/>
    <col min="14077" max="14077" width="45.140625" style="3" customWidth="1"/>
    <col min="14078" max="14330" width="9.140625" style="3"/>
    <col min="14331" max="14331" width="11.28515625" style="3" customWidth="1"/>
    <col min="14332" max="14332" width="18" style="3" customWidth="1"/>
    <col min="14333" max="14333" width="45.140625" style="3" customWidth="1"/>
    <col min="14334" max="14586" width="9.140625" style="3"/>
    <col min="14587" max="14587" width="11.28515625" style="3" customWidth="1"/>
    <col min="14588" max="14588" width="18" style="3" customWidth="1"/>
    <col min="14589" max="14589" width="45.140625" style="3" customWidth="1"/>
    <col min="14590" max="14842" width="9.140625" style="3"/>
    <col min="14843" max="14843" width="11.28515625" style="3" customWidth="1"/>
    <col min="14844" max="14844" width="18" style="3" customWidth="1"/>
    <col min="14845" max="14845" width="45.140625" style="3" customWidth="1"/>
    <col min="14846" max="15098" width="9.140625" style="3"/>
    <col min="15099" max="15099" width="11.28515625" style="3" customWidth="1"/>
    <col min="15100" max="15100" width="18" style="3" customWidth="1"/>
    <col min="15101" max="15101" width="45.140625" style="3" customWidth="1"/>
    <col min="15102" max="15354" width="9.140625" style="3"/>
    <col min="15355" max="15355" width="11.28515625" style="3" customWidth="1"/>
    <col min="15356" max="15356" width="18" style="3" customWidth="1"/>
    <col min="15357" max="15357" width="45.140625" style="3" customWidth="1"/>
    <col min="15358" max="15610" width="9.140625" style="3"/>
    <col min="15611" max="15611" width="11.28515625" style="3" customWidth="1"/>
    <col min="15612" max="15612" width="18" style="3" customWidth="1"/>
    <col min="15613" max="15613" width="45.140625" style="3" customWidth="1"/>
    <col min="15614" max="15866" width="9.140625" style="3"/>
    <col min="15867" max="15867" width="11.28515625" style="3" customWidth="1"/>
    <col min="15868" max="15868" width="18" style="3" customWidth="1"/>
    <col min="15869" max="15869" width="45.140625" style="3" customWidth="1"/>
    <col min="15870" max="16122" width="9.140625" style="3"/>
    <col min="16123" max="16123" width="11.28515625" style="3" customWidth="1"/>
    <col min="16124" max="16124" width="18" style="3" customWidth="1"/>
    <col min="16125" max="16125" width="45.140625" style="3" customWidth="1"/>
    <col min="16126" max="16384" width="9.140625" style="3"/>
  </cols>
  <sheetData>
    <row r="1" spans="1:3" x14ac:dyDescent="0.25">
      <c r="A1" s="2" t="s">
        <v>15</v>
      </c>
      <c r="B1" s="2" t="s">
        <v>16</v>
      </c>
      <c r="C1" s="2" t="s">
        <v>17</v>
      </c>
    </row>
    <row r="2" spans="1:3" x14ac:dyDescent="0.25">
      <c r="A2" s="4">
        <v>36892</v>
      </c>
      <c r="B2" s="5" t="s">
        <v>3</v>
      </c>
      <c r="C2" s="5" t="s">
        <v>2</v>
      </c>
    </row>
    <row r="3" spans="1:3" x14ac:dyDescent="0.25">
      <c r="A3" s="4">
        <v>36948</v>
      </c>
      <c r="B3" s="5" t="s">
        <v>3</v>
      </c>
      <c r="C3" s="5" t="s">
        <v>5</v>
      </c>
    </row>
    <row r="4" spans="1:3" x14ac:dyDescent="0.25">
      <c r="A4" s="4">
        <v>36949</v>
      </c>
      <c r="B4" s="5" t="s">
        <v>4</v>
      </c>
      <c r="C4" s="5" t="s">
        <v>5</v>
      </c>
    </row>
    <row r="5" spans="1:3" x14ac:dyDescent="0.25">
      <c r="A5" s="4">
        <v>36994</v>
      </c>
      <c r="B5" s="5" t="s">
        <v>6</v>
      </c>
      <c r="C5" s="5" t="s">
        <v>7</v>
      </c>
    </row>
    <row r="6" spans="1:3" x14ac:dyDescent="0.25">
      <c r="A6" s="4">
        <v>37002</v>
      </c>
      <c r="B6" s="5" t="s">
        <v>18</v>
      </c>
      <c r="C6" s="5" t="s">
        <v>8</v>
      </c>
    </row>
    <row r="7" spans="1:3" x14ac:dyDescent="0.25">
      <c r="A7" s="4">
        <v>37012</v>
      </c>
      <c r="B7" s="5" t="s">
        <v>4</v>
      </c>
      <c r="C7" s="5" t="s">
        <v>9</v>
      </c>
    </row>
    <row r="8" spans="1:3" x14ac:dyDescent="0.25">
      <c r="A8" s="4">
        <v>37056</v>
      </c>
      <c r="B8" s="5" t="s">
        <v>0</v>
      </c>
      <c r="C8" s="5" t="s">
        <v>10</v>
      </c>
    </row>
    <row r="9" spans="1:3" x14ac:dyDescent="0.25">
      <c r="A9" s="4">
        <v>37141</v>
      </c>
      <c r="B9" s="5" t="s">
        <v>6</v>
      </c>
      <c r="C9" s="5" t="s">
        <v>11</v>
      </c>
    </row>
    <row r="10" spans="1:3" x14ac:dyDescent="0.25">
      <c r="A10" s="4">
        <v>37176</v>
      </c>
      <c r="B10" s="5" t="s">
        <v>6</v>
      </c>
      <c r="C10" s="5" t="s">
        <v>19</v>
      </c>
    </row>
    <row r="11" spans="1:3" x14ac:dyDescent="0.25">
      <c r="A11" s="4">
        <v>37197</v>
      </c>
      <c r="B11" s="5" t="s">
        <v>6</v>
      </c>
      <c r="C11" s="5" t="s">
        <v>12</v>
      </c>
    </row>
    <row r="12" spans="1:3" x14ac:dyDescent="0.25">
      <c r="A12" s="4">
        <v>37210</v>
      </c>
      <c r="B12" s="5" t="s">
        <v>0</v>
      </c>
      <c r="C12" s="5" t="s">
        <v>14</v>
      </c>
    </row>
    <row r="13" spans="1:3" x14ac:dyDescent="0.25">
      <c r="A13" s="4">
        <v>37250</v>
      </c>
      <c r="B13" s="5" t="s">
        <v>4</v>
      </c>
      <c r="C13" s="5" t="s">
        <v>1</v>
      </c>
    </row>
    <row r="14" spans="1:3" x14ac:dyDescent="0.25">
      <c r="A14" s="6">
        <v>37257</v>
      </c>
      <c r="B14" s="7" t="s">
        <v>4</v>
      </c>
      <c r="C14" s="7" t="s">
        <v>2</v>
      </c>
    </row>
    <row r="15" spans="1:3" x14ac:dyDescent="0.25">
      <c r="A15" s="6">
        <v>37298</v>
      </c>
      <c r="B15" s="7" t="s">
        <v>3</v>
      </c>
      <c r="C15" s="7" t="s">
        <v>5</v>
      </c>
    </row>
    <row r="16" spans="1:3" x14ac:dyDescent="0.25">
      <c r="A16" s="6">
        <v>37299</v>
      </c>
      <c r="B16" s="7" t="s">
        <v>4</v>
      </c>
      <c r="C16" s="7" t="s">
        <v>5</v>
      </c>
    </row>
    <row r="17" spans="1:3" x14ac:dyDescent="0.25">
      <c r="A17" s="6">
        <v>37344</v>
      </c>
      <c r="B17" s="7" t="s">
        <v>6</v>
      </c>
      <c r="C17" s="7" t="s">
        <v>7</v>
      </c>
    </row>
    <row r="18" spans="1:3" x14ac:dyDescent="0.25">
      <c r="A18" s="6">
        <v>37367</v>
      </c>
      <c r="B18" s="7" t="s">
        <v>20</v>
      </c>
      <c r="C18" s="7" t="s">
        <v>8</v>
      </c>
    </row>
    <row r="19" spans="1:3" x14ac:dyDescent="0.25">
      <c r="A19" s="6">
        <v>37377</v>
      </c>
      <c r="B19" s="7" t="s">
        <v>13</v>
      </c>
      <c r="C19" s="7" t="s">
        <v>9</v>
      </c>
    </row>
    <row r="20" spans="1:3" x14ac:dyDescent="0.25">
      <c r="A20" s="6">
        <v>37406</v>
      </c>
      <c r="B20" s="7" t="s">
        <v>0</v>
      </c>
      <c r="C20" s="7" t="s">
        <v>10</v>
      </c>
    </row>
    <row r="21" spans="1:3" x14ac:dyDescent="0.25">
      <c r="A21" s="6">
        <v>37506</v>
      </c>
      <c r="B21" s="7" t="s">
        <v>18</v>
      </c>
      <c r="C21" s="7" t="s">
        <v>11</v>
      </c>
    </row>
    <row r="22" spans="1:3" x14ac:dyDescent="0.25">
      <c r="A22" s="6">
        <v>37541</v>
      </c>
      <c r="B22" s="7" t="s">
        <v>18</v>
      </c>
      <c r="C22" s="7" t="s">
        <v>19</v>
      </c>
    </row>
    <row r="23" spans="1:3" x14ac:dyDescent="0.25">
      <c r="A23" s="6">
        <v>37562</v>
      </c>
      <c r="B23" s="7" t="s">
        <v>18</v>
      </c>
      <c r="C23" s="7" t="s">
        <v>12</v>
      </c>
    </row>
    <row r="24" spans="1:3" x14ac:dyDescent="0.25">
      <c r="A24" s="6">
        <v>37575</v>
      </c>
      <c r="B24" s="7" t="s">
        <v>6</v>
      </c>
      <c r="C24" s="7" t="s">
        <v>14</v>
      </c>
    </row>
    <row r="25" spans="1:3" x14ac:dyDescent="0.25">
      <c r="A25" s="6">
        <v>37615</v>
      </c>
      <c r="B25" s="7" t="s">
        <v>13</v>
      </c>
      <c r="C25" s="7" t="s">
        <v>1</v>
      </c>
    </row>
    <row r="26" spans="1:3" x14ac:dyDescent="0.25">
      <c r="A26" s="4">
        <v>37622</v>
      </c>
      <c r="B26" s="5" t="s">
        <v>13</v>
      </c>
      <c r="C26" s="5" t="s">
        <v>2</v>
      </c>
    </row>
    <row r="27" spans="1:3" x14ac:dyDescent="0.25">
      <c r="A27" s="4">
        <v>37683</v>
      </c>
      <c r="B27" s="5" t="s">
        <v>3</v>
      </c>
      <c r="C27" s="5" t="s">
        <v>5</v>
      </c>
    </row>
    <row r="28" spans="1:3" x14ac:dyDescent="0.25">
      <c r="A28" s="4">
        <v>37684</v>
      </c>
      <c r="B28" s="5" t="s">
        <v>4</v>
      </c>
      <c r="C28" s="5" t="s">
        <v>5</v>
      </c>
    </row>
    <row r="29" spans="1:3" x14ac:dyDescent="0.25">
      <c r="A29" s="4">
        <v>37729</v>
      </c>
      <c r="B29" s="5" t="s">
        <v>6</v>
      </c>
      <c r="C29" s="5" t="s">
        <v>7</v>
      </c>
    </row>
    <row r="30" spans="1:3" x14ac:dyDescent="0.25">
      <c r="A30" s="4">
        <v>37732</v>
      </c>
      <c r="B30" s="5" t="s">
        <v>3</v>
      </c>
      <c r="C30" s="5" t="s">
        <v>8</v>
      </c>
    </row>
    <row r="31" spans="1:3" x14ac:dyDescent="0.25">
      <c r="A31" s="4">
        <v>37742</v>
      </c>
      <c r="B31" s="5" t="s">
        <v>0</v>
      </c>
      <c r="C31" s="5" t="s">
        <v>9</v>
      </c>
    </row>
    <row r="32" spans="1:3" x14ac:dyDescent="0.25">
      <c r="A32" s="4">
        <v>37791</v>
      </c>
      <c r="B32" s="5" t="s">
        <v>0</v>
      </c>
      <c r="C32" s="5" t="s">
        <v>10</v>
      </c>
    </row>
    <row r="33" spans="1:3" x14ac:dyDescent="0.25">
      <c r="A33" s="4">
        <v>37871</v>
      </c>
      <c r="B33" s="5" t="s">
        <v>20</v>
      </c>
      <c r="C33" s="5" t="s">
        <v>11</v>
      </c>
    </row>
    <row r="34" spans="1:3" x14ac:dyDescent="0.25">
      <c r="A34" s="4">
        <v>37906</v>
      </c>
      <c r="B34" s="5" t="s">
        <v>20</v>
      </c>
      <c r="C34" s="5" t="s">
        <v>19</v>
      </c>
    </row>
    <row r="35" spans="1:3" x14ac:dyDescent="0.25">
      <c r="A35" s="4">
        <v>37927</v>
      </c>
      <c r="B35" s="5" t="s">
        <v>20</v>
      </c>
      <c r="C35" s="5" t="s">
        <v>12</v>
      </c>
    </row>
    <row r="36" spans="1:3" x14ac:dyDescent="0.25">
      <c r="A36" s="4">
        <v>37940</v>
      </c>
      <c r="B36" s="5" t="s">
        <v>18</v>
      </c>
      <c r="C36" s="5" t="s">
        <v>14</v>
      </c>
    </row>
    <row r="37" spans="1:3" x14ac:dyDescent="0.25">
      <c r="A37" s="4">
        <v>37980</v>
      </c>
      <c r="B37" s="5" t="s">
        <v>0</v>
      </c>
      <c r="C37" s="5" t="s">
        <v>1</v>
      </c>
    </row>
    <row r="38" spans="1:3" x14ac:dyDescent="0.25">
      <c r="A38" s="6">
        <v>37987</v>
      </c>
      <c r="B38" s="7" t="s">
        <v>0</v>
      </c>
      <c r="C38" s="7" t="s">
        <v>2</v>
      </c>
    </row>
    <row r="39" spans="1:3" x14ac:dyDescent="0.25">
      <c r="A39" s="6">
        <v>38040</v>
      </c>
      <c r="B39" s="7" t="s">
        <v>3</v>
      </c>
      <c r="C39" s="7" t="s">
        <v>5</v>
      </c>
    </row>
    <row r="40" spans="1:3" x14ac:dyDescent="0.25">
      <c r="A40" s="6">
        <v>38041</v>
      </c>
      <c r="B40" s="7" t="s">
        <v>4</v>
      </c>
      <c r="C40" s="7" t="s">
        <v>5</v>
      </c>
    </row>
    <row r="41" spans="1:3" x14ac:dyDescent="0.25">
      <c r="A41" s="6">
        <v>38086</v>
      </c>
      <c r="B41" s="7" t="s">
        <v>6</v>
      </c>
      <c r="C41" s="7" t="s">
        <v>7</v>
      </c>
    </row>
    <row r="42" spans="1:3" x14ac:dyDescent="0.25">
      <c r="A42" s="6">
        <v>38098</v>
      </c>
      <c r="B42" s="7" t="s">
        <v>13</v>
      </c>
      <c r="C42" s="7" t="s">
        <v>8</v>
      </c>
    </row>
    <row r="43" spans="1:3" x14ac:dyDescent="0.25">
      <c r="A43" s="6">
        <v>38108</v>
      </c>
      <c r="B43" s="7" t="s">
        <v>18</v>
      </c>
      <c r="C43" s="7" t="s">
        <v>9</v>
      </c>
    </row>
    <row r="44" spans="1:3" x14ac:dyDescent="0.25">
      <c r="A44" s="6">
        <v>38148</v>
      </c>
      <c r="B44" s="7" t="s">
        <v>0</v>
      </c>
      <c r="C44" s="7" t="s">
        <v>10</v>
      </c>
    </row>
    <row r="45" spans="1:3" x14ac:dyDescent="0.25">
      <c r="A45" s="6">
        <v>38237</v>
      </c>
      <c r="B45" s="7" t="s">
        <v>4</v>
      </c>
      <c r="C45" s="7" t="s">
        <v>11</v>
      </c>
    </row>
    <row r="46" spans="1:3" x14ac:dyDescent="0.25">
      <c r="A46" s="6">
        <v>38272</v>
      </c>
      <c r="B46" s="7" t="s">
        <v>4</v>
      </c>
      <c r="C46" s="7" t="s">
        <v>19</v>
      </c>
    </row>
    <row r="47" spans="1:3" x14ac:dyDescent="0.25">
      <c r="A47" s="6">
        <v>38293</v>
      </c>
      <c r="B47" s="7" t="s">
        <v>4</v>
      </c>
      <c r="C47" s="7" t="s">
        <v>12</v>
      </c>
    </row>
    <row r="48" spans="1:3" x14ac:dyDescent="0.25">
      <c r="A48" s="6">
        <v>38306</v>
      </c>
      <c r="B48" s="7" t="s">
        <v>3</v>
      </c>
      <c r="C48" s="7" t="s">
        <v>14</v>
      </c>
    </row>
    <row r="49" spans="1:3" x14ac:dyDescent="0.25">
      <c r="A49" s="6">
        <v>38346</v>
      </c>
      <c r="B49" s="7" t="s">
        <v>18</v>
      </c>
      <c r="C49" s="7" t="s">
        <v>1</v>
      </c>
    </row>
    <row r="50" spans="1:3" x14ac:dyDescent="0.25">
      <c r="A50" s="4">
        <v>38353</v>
      </c>
      <c r="B50" s="5" t="s">
        <v>18</v>
      </c>
      <c r="C50" s="5" t="s">
        <v>2</v>
      </c>
    </row>
    <row r="51" spans="1:3" x14ac:dyDescent="0.25">
      <c r="A51" s="4">
        <v>38390</v>
      </c>
      <c r="B51" s="5" t="s">
        <v>3</v>
      </c>
      <c r="C51" s="5" t="s">
        <v>5</v>
      </c>
    </row>
    <row r="52" spans="1:3" x14ac:dyDescent="0.25">
      <c r="A52" s="4">
        <v>38391</v>
      </c>
      <c r="B52" s="5" t="s">
        <v>4</v>
      </c>
      <c r="C52" s="5" t="s">
        <v>5</v>
      </c>
    </row>
    <row r="53" spans="1:3" x14ac:dyDescent="0.25">
      <c r="A53" s="4">
        <v>38436</v>
      </c>
      <c r="B53" s="5" t="s">
        <v>6</v>
      </c>
      <c r="C53" s="5" t="s">
        <v>7</v>
      </c>
    </row>
    <row r="54" spans="1:3" x14ac:dyDescent="0.25">
      <c r="A54" s="4">
        <v>38463</v>
      </c>
      <c r="B54" s="5" t="s">
        <v>0</v>
      </c>
      <c r="C54" s="5" t="s">
        <v>8</v>
      </c>
    </row>
    <row r="55" spans="1:3" x14ac:dyDescent="0.25">
      <c r="A55" s="4">
        <v>38473</v>
      </c>
      <c r="B55" s="5" t="s">
        <v>20</v>
      </c>
      <c r="C55" s="5" t="s">
        <v>9</v>
      </c>
    </row>
    <row r="56" spans="1:3" x14ac:dyDescent="0.25">
      <c r="A56" s="4">
        <v>38498</v>
      </c>
      <c r="B56" s="5" t="s">
        <v>0</v>
      </c>
      <c r="C56" s="5" t="s">
        <v>10</v>
      </c>
    </row>
    <row r="57" spans="1:3" x14ac:dyDescent="0.25">
      <c r="A57" s="4">
        <v>38602</v>
      </c>
      <c r="B57" s="5" t="s">
        <v>13</v>
      </c>
      <c r="C57" s="5" t="s">
        <v>11</v>
      </c>
    </row>
    <row r="58" spans="1:3" x14ac:dyDescent="0.25">
      <c r="A58" s="4">
        <v>38637</v>
      </c>
      <c r="B58" s="5" t="s">
        <v>13</v>
      </c>
      <c r="C58" s="5" t="s">
        <v>19</v>
      </c>
    </row>
    <row r="59" spans="1:3" x14ac:dyDescent="0.25">
      <c r="A59" s="4">
        <v>38658</v>
      </c>
      <c r="B59" s="5" t="s">
        <v>13</v>
      </c>
      <c r="C59" s="5" t="s">
        <v>12</v>
      </c>
    </row>
    <row r="60" spans="1:3" x14ac:dyDescent="0.25">
      <c r="A60" s="4">
        <v>38671</v>
      </c>
      <c r="B60" s="5" t="s">
        <v>4</v>
      </c>
      <c r="C60" s="5" t="s">
        <v>14</v>
      </c>
    </row>
    <row r="61" spans="1:3" x14ac:dyDescent="0.25">
      <c r="A61" s="4">
        <v>38711</v>
      </c>
      <c r="B61" s="5" t="s">
        <v>20</v>
      </c>
      <c r="C61" s="5" t="s">
        <v>1</v>
      </c>
    </row>
    <row r="62" spans="1:3" x14ac:dyDescent="0.25">
      <c r="A62" s="6">
        <v>38718</v>
      </c>
      <c r="B62" s="7" t="s">
        <v>20</v>
      </c>
      <c r="C62" s="7" t="s">
        <v>2</v>
      </c>
    </row>
    <row r="63" spans="1:3" x14ac:dyDescent="0.25">
      <c r="A63" s="6">
        <v>38775</v>
      </c>
      <c r="B63" s="7" t="s">
        <v>3</v>
      </c>
      <c r="C63" s="7" t="s">
        <v>5</v>
      </c>
    </row>
    <row r="64" spans="1:3" x14ac:dyDescent="0.25">
      <c r="A64" s="6">
        <v>38776</v>
      </c>
      <c r="B64" s="7" t="s">
        <v>4</v>
      </c>
      <c r="C64" s="7" t="s">
        <v>5</v>
      </c>
    </row>
    <row r="65" spans="1:3" x14ac:dyDescent="0.25">
      <c r="A65" s="6">
        <v>38821</v>
      </c>
      <c r="B65" s="7" t="s">
        <v>6</v>
      </c>
      <c r="C65" s="7" t="s">
        <v>7</v>
      </c>
    </row>
    <row r="66" spans="1:3" x14ac:dyDescent="0.25">
      <c r="A66" s="6">
        <v>38828</v>
      </c>
      <c r="B66" s="7" t="s">
        <v>6</v>
      </c>
      <c r="C66" s="7" t="s">
        <v>8</v>
      </c>
    </row>
    <row r="67" spans="1:3" x14ac:dyDescent="0.25">
      <c r="A67" s="6">
        <v>38838</v>
      </c>
      <c r="B67" s="7" t="s">
        <v>3</v>
      </c>
      <c r="C67" s="7" t="s">
        <v>9</v>
      </c>
    </row>
    <row r="68" spans="1:3" x14ac:dyDescent="0.25">
      <c r="A68" s="6">
        <v>38883</v>
      </c>
      <c r="B68" s="7" t="s">
        <v>0</v>
      </c>
      <c r="C68" s="7" t="s">
        <v>10</v>
      </c>
    </row>
    <row r="69" spans="1:3" x14ac:dyDescent="0.25">
      <c r="A69" s="6">
        <v>38967</v>
      </c>
      <c r="B69" s="7" t="s">
        <v>0</v>
      </c>
      <c r="C69" s="7" t="s">
        <v>11</v>
      </c>
    </row>
    <row r="70" spans="1:3" x14ac:dyDescent="0.25">
      <c r="A70" s="6">
        <v>39002</v>
      </c>
      <c r="B70" s="7" t="s">
        <v>0</v>
      </c>
      <c r="C70" s="7" t="s">
        <v>19</v>
      </c>
    </row>
    <row r="71" spans="1:3" x14ac:dyDescent="0.25">
      <c r="A71" s="6">
        <v>39023</v>
      </c>
      <c r="B71" s="7" t="s">
        <v>0</v>
      </c>
      <c r="C71" s="7" t="s">
        <v>12</v>
      </c>
    </row>
    <row r="72" spans="1:3" x14ac:dyDescent="0.25">
      <c r="A72" s="6">
        <v>39036</v>
      </c>
      <c r="B72" s="7" t="s">
        <v>13</v>
      </c>
      <c r="C72" s="7" t="s">
        <v>14</v>
      </c>
    </row>
    <row r="73" spans="1:3" x14ac:dyDescent="0.25">
      <c r="A73" s="6">
        <v>39076</v>
      </c>
      <c r="B73" s="7" t="s">
        <v>3</v>
      </c>
      <c r="C73" s="7" t="s">
        <v>1</v>
      </c>
    </row>
    <row r="74" spans="1:3" x14ac:dyDescent="0.25">
      <c r="A74" s="4">
        <v>39083</v>
      </c>
      <c r="B74" s="5" t="s">
        <v>3</v>
      </c>
      <c r="C74" s="5" t="s">
        <v>2</v>
      </c>
    </row>
    <row r="75" spans="1:3" x14ac:dyDescent="0.25">
      <c r="A75" s="4">
        <v>39132</v>
      </c>
      <c r="B75" s="5" t="s">
        <v>3</v>
      </c>
      <c r="C75" s="5" t="s">
        <v>5</v>
      </c>
    </row>
    <row r="76" spans="1:3" x14ac:dyDescent="0.25">
      <c r="A76" s="4">
        <v>39133</v>
      </c>
      <c r="B76" s="5" t="s">
        <v>4</v>
      </c>
      <c r="C76" s="5" t="s">
        <v>5</v>
      </c>
    </row>
    <row r="77" spans="1:3" x14ac:dyDescent="0.25">
      <c r="A77" s="4">
        <v>39178</v>
      </c>
      <c r="B77" s="5" t="s">
        <v>6</v>
      </c>
      <c r="C77" s="5" t="s">
        <v>7</v>
      </c>
    </row>
    <row r="78" spans="1:3" x14ac:dyDescent="0.25">
      <c r="A78" s="4">
        <v>39193</v>
      </c>
      <c r="B78" s="5" t="s">
        <v>18</v>
      </c>
      <c r="C78" s="5" t="s">
        <v>8</v>
      </c>
    </row>
    <row r="79" spans="1:3" x14ac:dyDescent="0.25">
      <c r="A79" s="4">
        <v>39203</v>
      </c>
      <c r="B79" s="5" t="s">
        <v>4</v>
      </c>
      <c r="C79" s="5" t="s">
        <v>9</v>
      </c>
    </row>
    <row r="80" spans="1:3" x14ac:dyDescent="0.25">
      <c r="A80" s="4">
        <v>39240</v>
      </c>
      <c r="B80" s="5" t="s">
        <v>0</v>
      </c>
      <c r="C80" s="5" t="s">
        <v>10</v>
      </c>
    </row>
    <row r="81" spans="1:3" x14ac:dyDescent="0.25">
      <c r="A81" s="4">
        <v>39332</v>
      </c>
      <c r="B81" s="5" t="s">
        <v>6</v>
      </c>
      <c r="C81" s="5" t="s">
        <v>11</v>
      </c>
    </row>
    <row r="82" spans="1:3" x14ac:dyDescent="0.25">
      <c r="A82" s="4">
        <v>39367</v>
      </c>
      <c r="B82" s="5" t="s">
        <v>6</v>
      </c>
      <c r="C82" s="5" t="s">
        <v>19</v>
      </c>
    </row>
    <row r="83" spans="1:3" x14ac:dyDescent="0.25">
      <c r="A83" s="4">
        <v>39388</v>
      </c>
      <c r="B83" s="5" t="s">
        <v>6</v>
      </c>
      <c r="C83" s="5" t="s">
        <v>12</v>
      </c>
    </row>
    <row r="84" spans="1:3" x14ac:dyDescent="0.25">
      <c r="A84" s="4">
        <v>39401</v>
      </c>
      <c r="B84" s="5" t="s">
        <v>0</v>
      </c>
      <c r="C84" s="5" t="s">
        <v>14</v>
      </c>
    </row>
    <row r="85" spans="1:3" x14ac:dyDescent="0.25">
      <c r="A85" s="4">
        <v>39441</v>
      </c>
      <c r="B85" s="5" t="s">
        <v>4</v>
      </c>
      <c r="C85" s="5" t="s">
        <v>1</v>
      </c>
    </row>
    <row r="86" spans="1:3" x14ac:dyDescent="0.25">
      <c r="A86" s="6">
        <v>39448</v>
      </c>
      <c r="B86" s="7" t="s">
        <v>4</v>
      </c>
      <c r="C86" s="7" t="s">
        <v>2</v>
      </c>
    </row>
    <row r="87" spans="1:3" x14ac:dyDescent="0.25">
      <c r="A87" s="6">
        <v>39482</v>
      </c>
      <c r="B87" s="7" t="s">
        <v>3</v>
      </c>
      <c r="C87" s="7" t="s">
        <v>5</v>
      </c>
    </row>
    <row r="88" spans="1:3" x14ac:dyDescent="0.25">
      <c r="A88" s="6">
        <v>39483</v>
      </c>
      <c r="B88" s="7" t="s">
        <v>4</v>
      </c>
      <c r="C88" s="7" t="s">
        <v>5</v>
      </c>
    </row>
    <row r="89" spans="1:3" x14ac:dyDescent="0.25">
      <c r="A89" s="6">
        <v>39528</v>
      </c>
      <c r="B89" s="7" t="s">
        <v>6</v>
      </c>
      <c r="C89" s="7" t="s">
        <v>7</v>
      </c>
    </row>
    <row r="90" spans="1:3" x14ac:dyDescent="0.25">
      <c r="A90" s="6">
        <v>39559</v>
      </c>
      <c r="B90" s="7" t="s">
        <v>3</v>
      </c>
      <c r="C90" s="7" t="s">
        <v>8</v>
      </c>
    </row>
    <row r="91" spans="1:3" x14ac:dyDescent="0.25">
      <c r="A91" s="6">
        <v>39569</v>
      </c>
      <c r="B91" s="7" t="s">
        <v>0</v>
      </c>
      <c r="C91" s="7" t="s">
        <v>9</v>
      </c>
    </row>
    <row r="92" spans="1:3" x14ac:dyDescent="0.25">
      <c r="A92" s="6">
        <v>39590</v>
      </c>
      <c r="B92" s="7" t="s">
        <v>0</v>
      </c>
      <c r="C92" s="7" t="s">
        <v>10</v>
      </c>
    </row>
    <row r="93" spans="1:3" x14ac:dyDescent="0.25">
      <c r="A93" s="6">
        <v>39698</v>
      </c>
      <c r="B93" s="7" t="s">
        <v>20</v>
      </c>
      <c r="C93" s="7" t="s">
        <v>11</v>
      </c>
    </row>
    <row r="94" spans="1:3" x14ac:dyDescent="0.25">
      <c r="A94" s="6">
        <v>39733</v>
      </c>
      <c r="B94" s="7" t="s">
        <v>20</v>
      </c>
      <c r="C94" s="7" t="s">
        <v>19</v>
      </c>
    </row>
    <row r="95" spans="1:3" x14ac:dyDescent="0.25">
      <c r="A95" s="6">
        <v>39754</v>
      </c>
      <c r="B95" s="7" t="s">
        <v>20</v>
      </c>
      <c r="C95" s="7" t="s">
        <v>12</v>
      </c>
    </row>
    <row r="96" spans="1:3" x14ac:dyDescent="0.25">
      <c r="A96" s="6">
        <v>39767</v>
      </c>
      <c r="B96" s="7" t="s">
        <v>18</v>
      </c>
      <c r="C96" s="7" t="s">
        <v>14</v>
      </c>
    </row>
    <row r="97" spans="1:3" x14ac:dyDescent="0.25">
      <c r="A97" s="6">
        <v>39807</v>
      </c>
      <c r="B97" s="7" t="s">
        <v>0</v>
      </c>
      <c r="C97" s="7" t="s">
        <v>1</v>
      </c>
    </row>
    <row r="98" spans="1:3" x14ac:dyDescent="0.25">
      <c r="A98" s="4">
        <v>39814</v>
      </c>
      <c r="B98" s="5" t="s">
        <v>0</v>
      </c>
      <c r="C98" s="5" t="s">
        <v>2</v>
      </c>
    </row>
    <row r="99" spans="1:3" x14ac:dyDescent="0.25">
      <c r="A99" s="4">
        <v>39867</v>
      </c>
      <c r="B99" s="5" t="s">
        <v>3</v>
      </c>
      <c r="C99" s="5" t="s">
        <v>5</v>
      </c>
    </row>
    <row r="100" spans="1:3" x14ac:dyDescent="0.25">
      <c r="A100" s="4">
        <v>39868</v>
      </c>
      <c r="B100" s="5" t="s">
        <v>4</v>
      </c>
      <c r="C100" s="5" t="s">
        <v>5</v>
      </c>
    </row>
    <row r="101" spans="1:3" x14ac:dyDescent="0.25">
      <c r="A101" s="4">
        <v>39913</v>
      </c>
      <c r="B101" s="5" t="s">
        <v>6</v>
      </c>
      <c r="C101" s="5" t="s">
        <v>7</v>
      </c>
    </row>
    <row r="102" spans="1:3" x14ac:dyDescent="0.25">
      <c r="A102" s="4">
        <v>39924</v>
      </c>
      <c r="B102" s="5" t="s">
        <v>4</v>
      </c>
      <c r="C102" s="5" t="s">
        <v>8</v>
      </c>
    </row>
    <row r="103" spans="1:3" x14ac:dyDescent="0.25">
      <c r="A103" s="4">
        <v>39934</v>
      </c>
      <c r="B103" s="5" t="s">
        <v>6</v>
      </c>
      <c r="C103" s="5" t="s">
        <v>9</v>
      </c>
    </row>
    <row r="104" spans="1:3" x14ac:dyDescent="0.25">
      <c r="A104" s="4">
        <v>39975</v>
      </c>
      <c r="B104" s="5" t="s">
        <v>0</v>
      </c>
      <c r="C104" s="5" t="s">
        <v>10</v>
      </c>
    </row>
    <row r="105" spans="1:3" x14ac:dyDescent="0.25">
      <c r="A105" s="4">
        <v>40063</v>
      </c>
      <c r="B105" s="5" t="s">
        <v>3</v>
      </c>
      <c r="C105" s="5" t="s">
        <v>11</v>
      </c>
    </row>
    <row r="106" spans="1:3" x14ac:dyDescent="0.25">
      <c r="A106" s="4">
        <v>40098</v>
      </c>
      <c r="B106" s="5" t="s">
        <v>3</v>
      </c>
      <c r="C106" s="5" t="s">
        <v>19</v>
      </c>
    </row>
    <row r="107" spans="1:3" x14ac:dyDescent="0.25">
      <c r="A107" s="4">
        <v>40119</v>
      </c>
      <c r="B107" s="5" t="s">
        <v>3</v>
      </c>
      <c r="C107" s="5" t="s">
        <v>12</v>
      </c>
    </row>
    <row r="108" spans="1:3" x14ac:dyDescent="0.25">
      <c r="A108" s="4">
        <v>40132</v>
      </c>
      <c r="B108" s="5" t="s">
        <v>20</v>
      </c>
      <c r="C108" s="5" t="s">
        <v>14</v>
      </c>
    </row>
    <row r="109" spans="1:3" x14ac:dyDescent="0.25">
      <c r="A109" s="4">
        <v>40172</v>
      </c>
      <c r="B109" s="5" t="s">
        <v>6</v>
      </c>
      <c r="C109" s="5" t="s">
        <v>1</v>
      </c>
    </row>
    <row r="110" spans="1:3" x14ac:dyDescent="0.25">
      <c r="A110" s="6">
        <v>40179</v>
      </c>
      <c r="B110" s="7" t="s">
        <v>6</v>
      </c>
      <c r="C110" s="7" t="s">
        <v>2</v>
      </c>
    </row>
    <row r="111" spans="1:3" x14ac:dyDescent="0.25">
      <c r="A111" s="6">
        <v>40224</v>
      </c>
      <c r="B111" s="7" t="s">
        <v>3</v>
      </c>
      <c r="C111" s="7" t="s">
        <v>5</v>
      </c>
    </row>
    <row r="112" spans="1:3" x14ac:dyDescent="0.25">
      <c r="A112" s="6">
        <v>40225</v>
      </c>
      <c r="B112" s="7" t="s">
        <v>4</v>
      </c>
      <c r="C112" s="7" t="s">
        <v>5</v>
      </c>
    </row>
    <row r="113" spans="1:3" x14ac:dyDescent="0.25">
      <c r="A113" s="6">
        <v>40270</v>
      </c>
      <c r="B113" s="7" t="s">
        <v>6</v>
      </c>
      <c r="C113" s="7" t="s">
        <v>7</v>
      </c>
    </row>
    <row r="114" spans="1:3" x14ac:dyDescent="0.25">
      <c r="A114" s="6">
        <v>40289</v>
      </c>
      <c r="B114" s="7" t="s">
        <v>13</v>
      </c>
      <c r="C114" s="7" t="s">
        <v>8</v>
      </c>
    </row>
    <row r="115" spans="1:3" x14ac:dyDescent="0.25">
      <c r="A115" s="6">
        <v>40299</v>
      </c>
      <c r="B115" s="7" t="s">
        <v>18</v>
      </c>
      <c r="C115" s="7" t="s">
        <v>9</v>
      </c>
    </row>
    <row r="116" spans="1:3" x14ac:dyDescent="0.25">
      <c r="A116" s="6">
        <v>40332</v>
      </c>
      <c r="B116" s="7" t="s">
        <v>0</v>
      </c>
      <c r="C116" s="7" t="s">
        <v>10</v>
      </c>
    </row>
    <row r="117" spans="1:3" x14ac:dyDescent="0.25">
      <c r="A117" s="6">
        <v>40428</v>
      </c>
      <c r="B117" s="7" t="s">
        <v>4</v>
      </c>
      <c r="C117" s="7" t="s">
        <v>11</v>
      </c>
    </row>
    <row r="118" spans="1:3" x14ac:dyDescent="0.25">
      <c r="A118" s="6">
        <v>40463</v>
      </c>
      <c r="B118" s="7" t="s">
        <v>4</v>
      </c>
      <c r="C118" s="7" t="s">
        <v>19</v>
      </c>
    </row>
    <row r="119" spans="1:3" x14ac:dyDescent="0.25">
      <c r="A119" s="6">
        <v>40484</v>
      </c>
      <c r="B119" s="7" t="s">
        <v>4</v>
      </c>
      <c r="C119" s="7" t="s">
        <v>12</v>
      </c>
    </row>
    <row r="120" spans="1:3" x14ac:dyDescent="0.25">
      <c r="A120" s="6">
        <v>40497</v>
      </c>
      <c r="B120" s="7" t="s">
        <v>3</v>
      </c>
      <c r="C120" s="7" t="s">
        <v>14</v>
      </c>
    </row>
    <row r="121" spans="1:3" x14ac:dyDescent="0.25">
      <c r="A121" s="6">
        <v>40537</v>
      </c>
      <c r="B121" s="7" t="s">
        <v>18</v>
      </c>
      <c r="C121" s="7" t="s">
        <v>1</v>
      </c>
    </row>
    <row r="122" spans="1:3" x14ac:dyDescent="0.25">
      <c r="A122" s="4">
        <v>40544</v>
      </c>
      <c r="B122" s="5" t="s">
        <v>18</v>
      </c>
      <c r="C122" s="5" t="s">
        <v>2</v>
      </c>
    </row>
    <row r="123" spans="1:3" x14ac:dyDescent="0.25">
      <c r="A123" s="4">
        <v>40609</v>
      </c>
      <c r="B123" s="5" t="s">
        <v>3</v>
      </c>
      <c r="C123" s="5" t="s">
        <v>5</v>
      </c>
    </row>
    <row r="124" spans="1:3" x14ac:dyDescent="0.25">
      <c r="A124" s="4">
        <v>40610</v>
      </c>
      <c r="B124" s="5" t="s">
        <v>4</v>
      </c>
      <c r="C124" s="5" t="s">
        <v>5</v>
      </c>
    </row>
    <row r="125" spans="1:3" x14ac:dyDescent="0.25">
      <c r="A125" s="4">
        <v>40654</v>
      </c>
      <c r="B125" s="5" t="s">
        <v>0</v>
      </c>
      <c r="C125" s="5" t="s">
        <v>7</v>
      </c>
    </row>
    <row r="126" spans="1:3" x14ac:dyDescent="0.25">
      <c r="A126" s="4">
        <v>40655</v>
      </c>
      <c r="B126" s="5" t="s">
        <v>6</v>
      </c>
      <c r="C126" s="5" t="s">
        <v>8</v>
      </c>
    </row>
    <row r="127" spans="1:3" x14ac:dyDescent="0.25">
      <c r="A127" s="4">
        <v>40664</v>
      </c>
      <c r="B127" s="5" t="s">
        <v>20</v>
      </c>
      <c r="C127" s="5" t="s">
        <v>9</v>
      </c>
    </row>
    <row r="128" spans="1:3" x14ac:dyDescent="0.25">
      <c r="A128" s="4">
        <v>40717</v>
      </c>
      <c r="B128" s="5" t="s">
        <v>0</v>
      </c>
      <c r="C128" s="5" t="s">
        <v>10</v>
      </c>
    </row>
    <row r="129" spans="1:3" x14ac:dyDescent="0.25">
      <c r="A129" s="4">
        <v>40793</v>
      </c>
      <c r="B129" s="5" t="s">
        <v>13</v>
      </c>
      <c r="C129" s="5" t="s">
        <v>11</v>
      </c>
    </row>
    <row r="130" spans="1:3" x14ac:dyDescent="0.25">
      <c r="A130" s="4">
        <v>40828</v>
      </c>
      <c r="B130" s="5" t="s">
        <v>13</v>
      </c>
      <c r="C130" s="5" t="s">
        <v>19</v>
      </c>
    </row>
    <row r="131" spans="1:3" x14ac:dyDescent="0.25">
      <c r="A131" s="4">
        <v>40849</v>
      </c>
      <c r="B131" s="5" t="s">
        <v>13</v>
      </c>
      <c r="C131" s="5" t="s">
        <v>12</v>
      </c>
    </row>
    <row r="132" spans="1:3" x14ac:dyDescent="0.25">
      <c r="A132" s="4">
        <v>40862</v>
      </c>
      <c r="B132" s="5" t="s">
        <v>4</v>
      </c>
      <c r="C132" s="5" t="s">
        <v>14</v>
      </c>
    </row>
    <row r="133" spans="1:3" x14ac:dyDescent="0.25">
      <c r="A133" s="4">
        <v>40902</v>
      </c>
      <c r="B133" s="5" t="s">
        <v>20</v>
      </c>
      <c r="C133" s="5" t="s">
        <v>1</v>
      </c>
    </row>
    <row r="134" spans="1:3" x14ac:dyDescent="0.25">
      <c r="A134" s="6">
        <v>40909</v>
      </c>
      <c r="B134" s="7" t="s">
        <v>20</v>
      </c>
      <c r="C134" s="7" t="s">
        <v>2</v>
      </c>
    </row>
    <row r="135" spans="1:3" x14ac:dyDescent="0.25">
      <c r="A135" s="6">
        <v>40959</v>
      </c>
      <c r="B135" s="7" t="s">
        <v>3</v>
      </c>
      <c r="C135" s="7" t="s">
        <v>5</v>
      </c>
    </row>
    <row r="136" spans="1:3" x14ac:dyDescent="0.25">
      <c r="A136" s="6">
        <v>40960</v>
      </c>
      <c r="B136" s="7" t="s">
        <v>4</v>
      </c>
      <c r="C136" s="7" t="s">
        <v>5</v>
      </c>
    </row>
    <row r="137" spans="1:3" x14ac:dyDescent="0.25">
      <c r="A137" s="6">
        <v>41005</v>
      </c>
      <c r="B137" s="7" t="s">
        <v>6</v>
      </c>
      <c r="C137" s="7" t="s">
        <v>7</v>
      </c>
    </row>
    <row r="138" spans="1:3" x14ac:dyDescent="0.25">
      <c r="A138" s="6">
        <v>41020</v>
      </c>
      <c r="B138" s="7" t="s">
        <v>18</v>
      </c>
      <c r="C138" s="7" t="s">
        <v>8</v>
      </c>
    </row>
    <row r="139" spans="1:3" x14ac:dyDescent="0.25">
      <c r="A139" s="6">
        <v>41030</v>
      </c>
      <c r="B139" s="7" t="s">
        <v>4</v>
      </c>
      <c r="C139" s="7" t="s">
        <v>9</v>
      </c>
    </row>
    <row r="140" spans="1:3" x14ac:dyDescent="0.25">
      <c r="A140" s="6">
        <v>41067</v>
      </c>
      <c r="B140" s="7" t="s">
        <v>0</v>
      </c>
      <c r="C140" s="7" t="s">
        <v>10</v>
      </c>
    </row>
    <row r="141" spans="1:3" x14ac:dyDescent="0.25">
      <c r="A141" s="6">
        <v>41159</v>
      </c>
      <c r="B141" s="7" t="s">
        <v>6</v>
      </c>
      <c r="C141" s="7" t="s">
        <v>11</v>
      </c>
    </row>
    <row r="142" spans="1:3" x14ac:dyDescent="0.25">
      <c r="A142" s="6">
        <v>41194</v>
      </c>
      <c r="B142" s="7" t="s">
        <v>6</v>
      </c>
      <c r="C142" s="7" t="s">
        <v>19</v>
      </c>
    </row>
    <row r="143" spans="1:3" x14ac:dyDescent="0.25">
      <c r="A143" s="6">
        <v>41215</v>
      </c>
      <c r="B143" s="7" t="s">
        <v>6</v>
      </c>
      <c r="C143" s="7" t="s">
        <v>12</v>
      </c>
    </row>
    <row r="144" spans="1:3" x14ac:dyDescent="0.25">
      <c r="A144" s="6">
        <v>41228</v>
      </c>
      <c r="B144" s="7" t="s">
        <v>0</v>
      </c>
      <c r="C144" s="7" t="s">
        <v>14</v>
      </c>
    </row>
    <row r="145" spans="1:3" x14ac:dyDescent="0.25">
      <c r="A145" s="6">
        <v>41268</v>
      </c>
      <c r="B145" s="7" t="s">
        <v>4</v>
      </c>
      <c r="C145" s="7" t="s">
        <v>1</v>
      </c>
    </row>
    <row r="146" spans="1:3" x14ac:dyDescent="0.25">
      <c r="A146" s="4">
        <v>41275</v>
      </c>
      <c r="B146" s="5" t="s">
        <v>4</v>
      </c>
      <c r="C146" s="5" t="s">
        <v>2</v>
      </c>
    </row>
    <row r="147" spans="1:3" x14ac:dyDescent="0.25">
      <c r="A147" s="4">
        <v>41316</v>
      </c>
      <c r="B147" s="5" t="s">
        <v>3</v>
      </c>
      <c r="C147" s="5" t="s">
        <v>5</v>
      </c>
    </row>
    <row r="148" spans="1:3" x14ac:dyDescent="0.25">
      <c r="A148" s="4">
        <v>41317</v>
      </c>
      <c r="B148" s="5" t="s">
        <v>4</v>
      </c>
      <c r="C148" s="5" t="s">
        <v>5</v>
      </c>
    </row>
    <row r="149" spans="1:3" x14ac:dyDescent="0.25">
      <c r="A149" s="4">
        <v>41362</v>
      </c>
      <c r="B149" s="5" t="s">
        <v>6</v>
      </c>
      <c r="C149" s="5" t="s">
        <v>7</v>
      </c>
    </row>
    <row r="150" spans="1:3" x14ac:dyDescent="0.25">
      <c r="A150" s="4">
        <v>41385</v>
      </c>
      <c r="B150" s="5" t="s">
        <v>20</v>
      </c>
      <c r="C150" s="5" t="s">
        <v>8</v>
      </c>
    </row>
    <row r="151" spans="1:3" x14ac:dyDescent="0.25">
      <c r="A151" s="4">
        <v>41395</v>
      </c>
      <c r="B151" s="5" t="s">
        <v>13</v>
      </c>
      <c r="C151" s="5" t="s">
        <v>9</v>
      </c>
    </row>
    <row r="152" spans="1:3" x14ac:dyDescent="0.25">
      <c r="A152" s="4">
        <v>41424</v>
      </c>
      <c r="B152" s="5" t="s">
        <v>0</v>
      </c>
      <c r="C152" s="5" t="s">
        <v>10</v>
      </c>
    </row>
    <row r="153" spans="1:3" x14ac:dyDescent="0.25">
      <c r="A153" s="4">
        <v>41524</v>
      </c>
      <c r="B153" s="5" t="s">
        <v>18</v>
      </c>
      <c r="C153" s="5" t="s">
        <v>11</v>
      </c>
    </row>
    <row r="154" spans="1:3" x14ac:dyDescent="0.25">
      <c r="A154" s="4">
        <v>41559</v>
      </c>
      <c r="B154" s="5" t="s">
        <v>18</v>
      </c>
      <c r="C154" s="5" t="s">
        <v>19</v>
      </c>
    </row>
    <row r="155" spans="1:3" x14ac:dyDescent="0.25">
      <c r="A155" s="4">
        <v>41580</v>
      </c>
      <c r="B155" s="5" t="s">
        <v>18</v>
      </c>
      <c r="C155" s="5" t="s">
        <v>12</v>
      </c>
    </row>
    <row r="156" spans="1:3" x14ac:dyDescent="0.25">
      <c r="A156" s="4">
        <v>41593</v>
      </c>
      <c r="B156" s="5" t="s">
        <v>6</v>
      </c>
      <c r="C156" s="5" t="s">
        <v>14</v>
      </c>
    </row>
    <row r="157" spans="1:3" x14ac:dyDescent="0.25">
      <c r="A157" s="4">
        <v>41633</v>
      </c>
      <c r="B157" s="5" t="s">
        <v>13</v>
      </c>
      <c r="C157" s="5" t="s">
        <v>1</v>
      </c>
    </row>
    <row r="158" spans="1:3" x14ac:dyDescent="0.25">
      <c r="A158" s="6">
        <v>41640</v>
      </c>
      <c r="B158" s="7" t="s">
        <v>13</v>
      </c>
      <c r="C158" s="7" t="s">
        <v>2</v>
      </c>
    </row>
    <row r="159" spans="1:3" x14ac:dyDescent="0.25">
      <c r="A159" s="6">
        <v>41701</v>
      </c>
      <c r="B159" s="7" t="s">
        <v>3</v>
      </c>
      <c r="C159" s="7" t="s">
        <v>5</v>
      </c>
    </row>
    <row r="160" spans="1:3" x14ac:dyDescent="0.25">
      <c r="A160" s="6">
        <v>41702</v>
      </c>
      <c r="B160" s="7" t="s">
        <v>4</v>
      </c>
      <c r="C160" s="7" t="s">
        <v>5</v>
      </c>
    </row>
    <row r="161" spans="1:3" x14ac:dyDescent="0.25">
      <c r="A161" s="6">
        <v>41747</v>
      </c>
      <c r="B161" s="7" t="s">
        <v>6</v>
      </c>
      <c r="C161" s="7" t="s">
        <v>7</v>
      </c>
    </row>
    <row r="162" spans="1:3" x14ac:dyDescent="0.25">
      <c r="A162" s="6">
        <v>41750</v>
      </c>
      <c r="B162" s="7" t="s">
        <v>3</v>
      </c>
      <c r="C162" s="7" t="s">
        <v>8</v>
      </c>
    </row>
    <row r="163" spans="1:3" x14ac:dyDescent="0.25">
      <c r="A163" s="6">
        <v>41760</v>
      </c>
      <c r="B163" s="7" t="s">
        <v>0</v>
      </c>
      <c r="C163" s="7" t="s">
        <v>9</v>
      </c>
    </row>
    <row r="164" spans="1:3" x14ac:dyDescent="0.25">
      <c r="A164" s="6">
        <v>41809</v>
      </c>
      <c r="B164" s="7" t="s">
        <v>0</v>
      </c>
      <c r="C164" s="7" t="s">
        <v>10</v>
      </c>
    </row>
    <row r="165" spans="1:3" x14ac:dyDescent="0.25">
      <c r="A165" s="6">
        <v>41889</v>
      </c>
      <c r="B165" s="7" t="s">
        <v>20</v>
      </c>
      <c r="C165" s="7" t="s">
        <v>11</v>
      </c>
    </row>
    <row r="166" spans="1:3" x14ac:dyDescent="0.25">
      <c r="A166" s="6">
        <v>41924</v>
      </c>
      <c r="B166" s="7" t="s">
        <v>20</v>
      </c>
      <c r="C166" s="7" t="s">
        <v>19</v>
      </c>
    </row>
    <row r="167" spans="1:3" x14ac:dyDescent="0.25">
      <c r="A167" s="6">
        <v>41945</v>
      </c>
      <c r="B167" s="7" t="s">
        <v>20</v>
      </c>
      <c r="C167" s="7" t="s">
        <v>12</v>
      </c>
    </row>
    <row r="168" spans="1:3" x14ac:dyDescent="0.25">
      <c r="A168" s="6">
        <v>41958</v>
      </c>
      <c r="B168" s="7" t="s">
        <v>18</v>
      </c>
      <c r="C168" s="7" t="s">
        <v>14</v>
      </c>
    </row>
    <row r="169" spans="1:3" x14ac:dyDescent="0.25">
      <c r="A169" s="6">
        <v>41998</v>
      </c>
      <c r="B169" s="7" t="s">
        <v>0</v>
      </c>
      <c r="C169" s="7" t="s">
        <v>1</v>
      </c>
    </row>
    <row r="170" spans="1:3" x14ac:dyDescent="0.25">
      <c r="A170" s="4">
        <v>42005</v>
      </c>
      <c r="B170" s="5" t="s">
        <v>0</v>
      </c>
      <c r="C170" s="5" t="s">
        <v>2</v>
      </c>
    </row>
    <row r="171" spans="1:3" x14ac:dyDescent="0.25">
      <c r="A171" s="4">
        <v>42051</v>
      </c>
      <c r="B171" s="5" t="s">
        <v>3</v>
      </c>
      <c r="C171" s="5" t="s">
        <v>5</v>
      </c>
    </row>
    <row r="172" spans="1:3" x14ac:dyDescent="0.25">
      <c r="A172" s="4">
        <v>42052</v>
      </c>
      <c r="B172" s="5" t="s">
        <v>4</v>
      </c>
      <c r="C172" s="5" t="s">
        <v>5</v>
      </c>
    </row>
    <row r="173" spans="1:3" x14ac:dyDescent="0.25">
      <c r="A173" s="4">
        <v>42097</v>
      </c>
      <c r="B173" s="5" t="s">
        <v>6</v>
      </c>
      <c r="C173" s="5" t="s">
        <v>7</v>
      </c>
    </row>
    <row r="174" spans="1:3" x14ac:dyDescent="0.25">
      <c r="A174" s="4">
        <v>42115</v>
      </c>
      <c r="B174" s="5" t="s">
        <v>4</v>
      </c>
      <c r="C174" s="5" t="s">
        <v>8</v>
      </c>
    </row>
    <row r="175" spans="1:3" x14ac:dyDescent="0.25">
      <c r="A175" s="4">
        <v>42125</v>
      </c>
      <c r="B175" s="5" t="s">
        <v>6</v>
      </c>
      <c r="C175" s="5" t="s">
        <v>9</v>
      </c>
    </row>
    <row r="176" spans="1:3" x14ac:dyDescent="0.25">
      <c r="A176" s="4">
        <v>42159</v>
      </c>
      <c r="B176" s="5" t="s">
        <v>0</v>
      </c>
      <c r="C176" s="5" t="s">
        <v>10</v>
      </c>
    </row>
    <row r="177" spans="1:3" x14ac:dyDescent="0.25">
      <c r="A177" s="4">
        <v>42254</v>
      </c>
      <c r="B177" s="5" t="s">
        <v>3</v>
      </c>
      <c r="C177" s="5" t="s">
        <v>11</v>
      </c>
    </row>
    <row r="178" spans="1:3" x14ac:dyDescent="0.25">
      <c r="A178" s="4">
        <v>42289</v>
      </c>
      <c r="B178" s="5" t="s">
        <v>3</v>
      </c>
      <c r="C178" s="5" t="s">
        <v>19</v>
      </c>
    </row>
    <row r="179" spans="1:3" x14ac:dyDescent="0.25">
      <c r="A179" s="4">
        <v>42310</v>
      </c>
      <c r="B179" s="5" t="s">
        <v>3</v>
      </c>
      <c r="C179" s="5" t="s">
        <v>12</v>
      </c>
    </row>
    <row r="180" spans="1:3" x14ac:dyDescent="0.25">
      <c r="A180" s="4">
        <v>42323</v>
      </c>
      <c r="B180" s="5" t="s">
        <v>20</v>
      </c>
      <c r="C180" s="5" t="s">
        <v>14</v>
      </c>
    </row>
    <row r="181" spans="1:3" x14ac:dyDescent="0.25">
      <c r="A181" s="4">
        <v>42363</v>
      </c>
      <c r="B181" s="5" t="s">
        <v>6</v>
      </c>
      <c r="C181" s="5" t="s">
        <v>1</v>
      </c>
    </row>
    <row r="182" spans="1:3" x14ac:dyDescent="0.25">
      <c r="A182" s="6">
        <v>42370</v>
      </c>
      <c r="B182" s="7" t="s">
        <v>6</v>
      </c>
      <c r="C182" s="7" t="s">
        <v>2</v>
      </c>
    </row>
    <row r="183" spans="1:3" x14ac:dyDescent="0.25">
      <c r="A183" s="6">
        <v>42408</v>
      </c>
      <c r="B183" s="7" t="s">
        <v>3</v>
      </c>
      <c r="C183" s="7" t="s">
        <v>5</v>
      </c>
    </row>
    <row r="184" spans="1:3" x14ac:dyDescent="0.25">
      <c r="A184" s="6">
        <v>42409</v>
      </c>
      <c r="B184" s="7" t="s">
        <v>4</v>
      </c>
      <c r="C184" s="7" t="s">
        <v>5</v>
      </c>
    </row>
    <row r="185" spans="1:3" x14ac:dyDescent="0.25">
      <c r="A185" s="6">
        <v>42454</v>
      </c>
      <c r="B185" s="7" t="s">
        <v>6</v>
      </c>
      <c r="C185" s="7" t="s">
        <v>7</v>
      </c>
    </row>
    <row r="186" spans="1:3" x14ac:dyDescent="0.25">
      <c r="A186" s="6">
        <v>42481</v>
      </c>
      <c r="B186" s="7" t="s">
        <v>0</v>
      </c>
      <c r="C186" s="7" t="s">
        <v>8</v>
      </c>
    </row>
    <row r="187" spans="1:3" x14ac:dyDescent="0.25">
      <c r="A187" s="6">
        <v>42491</v>
      </c>
      <c r="B187" s="7" t="s">
        <v>20</v>
      </c>
      <c r="C187" s="7" t="s">
        <v>9</v>
      </c>
    </row>
    <row r="188" spans="1:3" x14ac:dyDescent="0.25">
      <c r="A188" s="6">
        <v>42516</v>
      </c>
      <c r="B188" s="7" t="s">
        <v>0</v>
      </c>
      <c r="C188" s="7" t="s">
        <v>10</v>
      </c>
    </row>
    <row r="189" spans="1:3" x14ac:dyDescent="0.25">
      <c r="A189" s="6">
        <v>42620</v>
      </c>
      <c r="B189" s="7" t="s">
        <v>13</v>
      </c>
      <c r="C189" s="7" t="s">
        <v>11</v>
      </c>
    </row>
    <row r="190" spans="1:3" x14ac:dyDescent="0.25">
      <c r="A190" s="6">
        <v>42655</v>
      </c>
      <c r="B190" s="7" t="s">
        <v>13</v>
      </c>
      <c r="C190" s="7" t="s">
        <v>19</v>
      </c>
    </row>
    <row r="191" spans="1:3" x14ac:dyDescent="0.25">
      <c r="A191" s="6">
        <v>42676</v>
      </c>
      <c r="B191" s="7" t="s">
        <v>13</v>
      </c>
      <c r="C191" s="7" t="s">
        <v>12</v>
      </c>
    </row>
    <row r="192" spans="1:3" x14ac:dyDescent="0.25">
      <c r="A192" s="6">
        <v>42689</v>
      </c>
      <c r="B192" s="7" t="s">
        <v>4</v>
      </c>
      <c r="C192" s="7" t="s">
        <v>14</v>
      </c>
    </row>
    <row r="193" spans="1:3" x14ac:dyDescent="0.25">
      <c r="A193" s="6">
        <v>42729</v>
      </c>
      <c r="B193" s="7" t="s">
        <v>20</v>
      </c>
      <c r="C193" s="7" t="s">
        <v>1</v>
      </c>
    </row>
    <row r="194" spans="1:3" x14ac:dyDescent="0.25">
      <c r="A194" s="4">
        <v>42736</v>
      </c>
      <c r="B194" s="5" t="s">
        <v>20</v>
      </c>
      <c r="C194" s="5" t="s">
        <v>2</v>
      </c>
    </row>
    <row r="195" spans="1:3" x14ac:dyDescent="0.25">
      <c r="A195" s="4">
        <v>42793</v>
      </c>
      <c r="B195" s="5" t="s">
        <v>3</v>
      </c>
      <c r="C195" s="5" t="s">
        <v>5</v>
      </c>
    </row>
    <row r="196" spans="1:3" x14ac:dyDescent="0.25">
      <c r="A196" s="4">
        <v>42794</v>
      </c>
      <c r="B196" s="5" t="s">
        <v>4</v>
      </c>
      <c r="C196" s="5" t="s">
        <v>5</v>
      </c>
    </row>
    <row r="197" spans="1:3" x14ac:dyDescent="0.25">
      <c r="A197" s="4">
        <v>42839</v>
      </c>
      <c r="B197" s="5" t="s">
        <v>6</v>
      </c>
      <c r="C197" s="5" t="s">
        <v>7</v>
      </c>
    </row>
    <row r="198" spans="1:3" x14ac:dyDescent="0.25">
      <c r="A198" s="4">
        <v>42846</v>
      </c>
      <c r="B198" s="5" t="s">
        <v>6</v>
      </c>
      <c r="C198" s="5" t="s">
        <v>8</v>
      </c>
    </row>
    <row r="199" spans="1:3" x14ac:dyDescent="0.25">
      <c r="A199" s="4">
        <v>42856</v>
      </c>
      <c r="B199" s="5" t="s">
        <v>3</v>
      </c>
      <c r="C199" s="5" t="s">
        <v>9</v>
      </c>
    </row>
    <row r="200" spans="1:3" x14ac:dyDescent="0.25">
      <c r="A200" s="4">
        <v>42901</v>
      </c>
      <c r="B200" s="5" t="s">
        <v>0</v>
      </c>
      <c r="C200" s="5" t="s">
        <v>10</v>
      </c>
    </row>
    <row r="201" spans="1:3" x14ac:dyDescent="0.25">
      <c r="A201" s="4">
        <v>42985</v>
      </c>
      <c r="B201" s="5" t="s">
        <v>0</v>
      </c>
      <c r="C201" s="5" t="s">
        <v>11</v>
      </c>
    </row>
    <row r="202" spans="1:3" x14ac:dyDescent="0.25">
      <c r="A202" s="4">
        <v>43020</v>
      </c>
      <c r="B202" s="5" t="s">
        <v>0</v>
      </c>
      <c r="C202" s="5" t="s">
        <v>19</v>
      </c>
    </row>
    <row r="203" spans="1:3" x14ac:dyDescent="0.25">
      <c r="A203" s="4">
        <v>43041</v>
      </c>
      <c r="B203" s="5" t="s">
        <v>0</v>
      </c>
      <c r="C203" s="5" t="s">
        <v>12</v>
      </c>
    </row>
    <row r="204" spans="1:3" x14ac:dyDescent="0.25">
      <c r="A204" s="4">
        <v>43054</v>
      </c>
      <c r="B204" s="5" t="s">
        <v>13</v>
      </c>
      <c r="C204" s="5" t="s">
        <v>14</v>
      </c>
    </row>
    <row r="205" spans="1:3" x14ac:dyDescent="0.25">
      <c r="A205" s="4">
        <v>43094</v>
      </c>
      <c r="B205" s="5" t="s">
        <v>3</v>
      </c>
      <c r="C205" s="5" t="s">
        <v>1</v>
      </c>
    </row>
    <row r="206" spans="1:3" x14ac:dyDescent="0.25">
      <c r="A206" s="6">
        <v>43101</v>
      </c>
      <c r="B206" s="7" t="s">
        <v>3</v>
      </c>
      <c r="C206" s="7" t="s">
        <v>2</v>
      </c>
    </row>
    <row r="207" spans="1:3" x14ac:dyDescent="0.25">
      <c r="A207" s="6">
        <v>43143</v>
      </c>
      <c r="B207" s="7" t="s">
        <v>3</v>
      </c>
      <c r="C207" s="7" t="s">
        <v>5</v>
      </c>
    </row>
    <row r="208" spans="1:3" x14ac:dyDescent="0.25">
      <c r="A208" s="6">
        <v>43144</v>
      </c>
      <c r="B208" s="7" t="s">
        <v>4</v>
      </c>
      <c r="C208" s="7" t="s">
        <v>5</v>
      </c>
    </row>
    <row r="209" spans="1:3" x14ac:dyDescent="0.25">
      <c r="A209" s="6">
        <v>43189</v>
      </c>
      <c r="B209" s="7" t="s">
        <v>6</v>
      </c>
      <c r="C209" s="7" t="s">
        <v>7</v>
      </c>
    </row>
    <row r="210" spans="1:3" x14ac:dyDescent="0.25">
      <c r="A210" s="6">
        <v>43211</v>
      </c>
      <c r="B210" s="7" t="s">
        <v>18</v>
      </c>
      <c r="C210" s="7" t="s">
        <v>8</v>
      </c>
    </row>
    <row r="211" spans="1:3" x14ac:dyDescent="0.25">
      <c r="A211" s="6">
        <v>43221</v>
      </c>
      <c r="B211" s="7" t="s">
        <v>4</v>
      </c>
      <c r="C211" s="7" t="s">
        <v>9</v>
      </c>
    </row>
    <row r="212" spans="1:3" x14ac:dyDescent="0.25">
      <c r="A212" s="6">
        <v>43251</v>
      </c>
      <c r="B212" s="7" t="s">
        <v>0</v>
      </c>
      <c r="C212" s="7" t="s">
        <v>10</v>
      </c>
    </row>
    <row r="213" spans="1:3" x14ac:dyDescent="0.25">
      <c r="A213" s="6">
        <v>43350</v>
      </c>
      <c r="B213" s="7" t="s">
        <v>6</v>
      </c>
      <c r="C213" s="7" t="s">
        <v>11</v>
      </c>
    </row>
    <row r="214" spans="1:3" x14ac:dyDescent="0.25">
      <c r="A214" s="6">
        <v>43385</v>
      </c>
      <c r="B214" s="7" t="s">
        <v>6</v>
      </c>
      <c r="C214" s="7" t="s">
        <v>19</v>
      </c>
    </row>
    <row r="215" spans="1:3" x14ac:dyDescent="0.25">
      <c r="A215" s="6">
        <v>43406</v>
      </c>
      <c r="B215" s="7" t="s">
        <v>6</v>
      </c>
      <c r="C215" s="7" t="s">
        <v>12</v>
      </c>
    </row>
    <row r="216" spans="1:3" x14ac:dyDescent="0.25">
      <c r="A216" s="6">
        <v>43419</v>
      </c>
      <c r="B216" s="7" t="s">
        <v>0</v>
      </c>
      <c r="C216" s="7" t="s">
        <v>14</v>
      </c>
    </row>
    <row r="217" spans="1:3" x14ac:dyDescent="0.25">
      <c r="A217" s="6">
        <v>43459</v>
      </c>
      <c r="B217" s="7" t="s">
        <v>4</v>
      </c>
      <c r="C217" s="7" t="s">
        <v>1</v>
      </c>
    </row>
    <row r="218" spans="1:3" x14ac:dyDescent="0.25">
      <c r="A218" s="4">
        <v>43466</v>
      </c>
      <c r="B218" s="5" t="s">
        <v>4</v>
      </c>
      <c r="C218" s="5" t="s">
        <v>2</v>
      </c>
    </row>
    <row r="219" spans="1:3" x14ac:dyDescent="0.25">
      <c r="A219" s="4">
        <v>43528</v>
      </c>
      <c r="B219" s="5" t="s">
        <v>3</v>
      </c>
      <c r="C219" s="5" t="s">
        <v>5</v>
      </c>
    </row>
    <row r="220" spans="1:3" x14ac:dyDescent="0.25">
      <c r="A220" s="4">
        <v>43529</v>
      </c>
      <c r="B220" s="5" t="s">
        <v>4</v>
      </c>
      <c r="C220" s="5" t="s">
        <v>5</v>
      </c>
    </row>
    <row r="221" spans="1:3" x14ac:dyDescent="0.25">
      <c r="A221" s="4">
        <v>43574</v>
      </c>
      <c r="B221" s="5" t="s">
        <v>6</v>
      </c>
      <c r="C221" s="5" t="s">
        <v>7</v>
      </c>
    </row>
    <row r="222" spans="1:3" x14ac:dyDescent="0.25">
      <c r="A222" s="4">
        <v>43576</v>
      </c>
      <c r="B222" s="5" t="s">
        <v>20</v>
      </c>
      <c r="C222" s="5" t="s">
        <v>8</v>
      </c>
    </row>
    <row r="223" spans="1:3" x14ac:dyDescent="0.25">
      <c r="A223" s="4">
        <v>43586</v>
      </c>
      <c r="B223" s="5" t="s">
        <v>13</v>
      </c>
      <c r="C223" s="5" t="s">
        <v>9</v>
      </c>
    </row>
    <row r="224" spans="1:3" x14ac:dyDescent="0.25">
      <c r="A224" s="4">
        <v>43636</v>
      </c>
      <c r="B224" s="5" t="s">
        <v>0</v>
      </c>
      <c r="C224" s="5" t="s">
        <v>10</v>
      </c>
    </row>
    <row r="225" spans="1:3" x14ac:dyDescent="0.25">
      <c r="A225" s="4">
        <v>43715</v>
      </c>
      <c r="B225" s="5" t="s">
        <v>18</v>
      </c>
      <c r="C225" s="5" t="s">
        <v>11</v>
      </c>
    </row>
    <row r="226" spans="1:3" x14ac:dyDescent="0.25">
      <c r="A226" s="4">
        <v>43750</v>
      </c>
      <c r="B226" s="5" t="s">
        <v>18</v>
      </c>
      <c r="C226" s="5" t="s">
        <v>19</v>
      </c>
    </row>
    <row r="227" spans="1:3" x14ac:dyDescent="0.25">
      <c r="A227" s="4">
        <v>43771</v>
      </c>
      <c r="B227" s="5" t="s">
        <v>18</v>
      </c>
      <c r="C227" s="5" t="s">
        <v>12</v>
      </c>
    </row>
    <row r="228" spans="1:3" x14ac:dyDescent="0.25">
      <c r="A228" s="4">
        <v>43784</v>
      </c>
      <c r="B228" s="5" t="s">
        <v>6</v>
      </c>
      <c r="C228" s="5" t="s">
        <v>14</v>
      </c>
    </row>
    <row r="229" spans="1:3" x14ac:dyDescent="0.25">
      <c r="A229" s="4">
        <v>43824</v>
      </c>
      <c r="B229" s="5" t="s">
        <v>13</v>
      </c>
      <c r="C229" s="5" t="s">
        <v>1</v>
      </c>
    </row>
    <row r="230" spans="1:3" x14ac:dyDescent="0.25">
      <c r="A230" s="6">
        <v>43831</v>
      </c>
      <c r="B230" s="7" t="s">
        <v>13</v>
      </c>
      <c r="C230" s="7" t="s">
        <v>2</v>
      </c>
    </row>
    <row r="231" spans="1:3" x14ac:dyDescent="0.25">
      <c r="A231" s="6">
        <v>43885</v>
      </c>
      <c r="B231" s="7" t="s">
        <v>3</v>
      </c>
      <c r="C231" s="7" t="s">
        <v>5</v>
      </c>
    </row>
    <row r="232" spans="1:3" x14ac:dyDescent="0.25">
      <c r="A232" s="6">
        <v>43886</v>
      </c>
      <c r="B232" s="7" t="s">
        <v>4</v>
      </c>
      <c r="C232" s="7" t="s">
        <v>5</v>
      </c>
    </row>
    <row r="233" spans="1:3" x14ac:dyDescent="0.25">
      <c r="A233" s="6">
        <v>43931</v>
      </c>
      <c r="B233" s="7" t="s">
        <v>6</v>
      </c>
      <c r="C233" s="7" t="s">
        <v>7</v>
      </c>
    </row>
    <row r="234" spans="1:3" x14ac:dyDescent="0.25">
      <c r="A234" s="6">
        <v>43942</v>
      </c>
      <c r="B234" s="7" t="s">
        <v>4</v>
      </c>
      <c r="C234" s="7" t="s">
        <v>8</v>
      </c>
    </row>
    <row r="235" spans="1:3" x14ac:dyDescent="0.25">
      <c r="A235" s="6">
        <v>43952</v>
      </c>
      <c r="B235" s="7" t="s">
        <v>6</v>
      </c>
      <c r="C235" s="7" t="s">
        <v>9</v>
      </c>
    </row>
    <row r="236" spans="1:3" x14ac:dyDescent="0.25">
      <c r="A236" s="6">
        <v>43993</v>
      </c>
      <c r="B236" s="7" t="s">
        <v>0</v>
      </c>
      <c r="C236" s="7" t="s">
        <v>10</v>
      </c>
    </row>
    <row r="237" spans="1:3" x14ac:dyDescent="0.25">
      <c r="A237" s="6">
        <v>44081</v>
      </c>
      <c r="B237" s="7" t="s">
        <v>3</v>
      </c>
      <c r="C237" s="7" t="s">
        <v>11</v>
      </c>
    </row>
    <row r="238" spans="1:3" x14ac:dyDescent="0.25">
      <c r="A238" s="6">
        <v>44116</v>
      </c>
      <c r="B238" s="7" t="s">
        <v>3</v>
      </c>
      <c r="C238" s="7" t="s">
        <v>19</v>
      </c>
    </row>
    <row r="239" spans="1:3" x14ac:dyDescent="0.25">
      <c r="A239" s="6">
        <v>44137</v>
      </c>
      <c r="B239" s="7" t="s">
        <v>3</v>
      </c>
      <c r="C239" s="7" t="s">
        <v>12</v>
      </c>
    </row>
    <row r="240" spans="1:3" x14ac:dyDescent="0.25">
      <c r="A240" s="6">
        <v>44150</v>
      </c>
      <c r="B240" s="7" t="s">
        <v>20</v>
      </c>
      <c r="C240" s="7" t="s">
        <v>14</v>
      </c>
    </row>
    <row r="241" spans="1:3" x14ac:dyDescent="0.25">
      <c r="A241" s="6">
        <v>44190</v>
      </c>
      <c r="B241" s="7" t="s">
        <v>6</v>
      </c>
      <c r="C241" s="7" t="s">
        <v>1</v>
      </c>
    </row>
    <row r="242" spans="1:3" x14ac:dyDescent="0.25">
      <c r="A242" s="4">
        <v>44197</v>
      </c>
      <c r="B242" s="5" t="s">
        <v>6</v>
      </c>
      <c r="C242" s="5" t="s">
        <v>2</v>
      </c>
    </row>
    <row r="243" spans="1:3" x14ac:dyDescent="0.25">
      <c r="A243" s="4">
        <v>44242</v>
      </c>
      <c r="B243" s="5" t="s">
        <v>3</v>
      </c>
      <c r="C243" s="5" t="s">
        <v>5</v>
      </c>
    </row>
    <row r="244" spans="1:3" x14ac:dyDescent="0.25">
      <c r="A244" s="4">
        <v>44243</v>
      </c>
      <c r="B244" s="5" t="s">
        <v>4</v>
      </c>
      <c r="C244" s="5" t="s">
        <v>5</v>
      </c>
    </row>
    <row r="245" spans="1:3" x14ac:dyDescent="0.25">
      <c r="A245" s="4">
        <v>44288</v>
      </c>
      <c r="B245" s="5" t="s">
        <v>6</v>
      </c>
      <c r="C245" s="5" t="s">
        <v>7</v>
      </c>
    </row>
    <row r="246" spans="1:3" x14ac:dyDescent="0.25">
      <c r="A246" s="4">
        <v>44307</v>
      </c>
      <c r="B246" s="5" t="s">
        <v>13</v>
      </c>
      <c r="C246" s="5" t="s">
        <v>8</v>
      </c>
    </row>
    <row r="247" spans="1:3" x14ac:dyDescent="0.25">
      <c r="A247" s="4">
        <v>44317</v>
      </c>
      <c r="B247" s="5" t="s">
        <v>18</v>
      </c>
      <c r="C247" s="5" t="s">
        <v>9</v>
      </c>
    </row>
    <row r="248" spans="1:3" x14ac:dyDescent="0.25">
      <c r="A248" s="4">
        <v>44350</v>
      </c>
      <c r="B248" s="5" t="s">
        <v>0</v>
      </c>
      <c r="C248" s="5" t="s">
        <v>10</v>
      </c>
    </row>
    <row r="249" spans="1:3" x14ac:dyDescent="0.25">
      <c r="A249" s="4">
        <v>44446</v>
      </c>
      <c r="B249" s="5" t="s">
        <v>4</v>
      </c>
      <c r="C249" s="5" t="s">
        <v>11</v>
      </c>
    </row>
    <row r="250" spans="1:3" x14ac:dyDescent="0.25">
      <c r="A250" s="4">
        <v>44481</v>
      </c>
      <c r="B250" s="5" t="s">
        <v>4</v>
      </c>
      <c r="C250" s="5" t="s">
        <v>19</v>
      </c>
    </row>
    <row r="251" spans="1:3" x14ac:dyDescent="0.25">
      <c r="A251" s="4">
        <v>44502</v>
      </c>
      <c r="B251" s="5" t="s">
        <v>4</v>
      </c>
      <c r="C251" s="5" t="s">
        <v>12</v>
      </c>
    </row>
    <row r="252" spans="1:3" x14ac:dyDescent="0.25">
      <c r="A252" s="4">
        <v>44515</v>
      </c>
      <c r="B252" s="5" t="s">
        <v>3</v>
      </c>
      <c r="C252" s="5" t="s">
        <v>14</v>
      </c>
    </row>
    <row r="253" spans="1:3" x14ac:dyDescent="0.25">
      <c r="A253" s="4">
        <v>44555</v>
      </c>
      <c r="B253" s="5" t="s">
        <v>18</v>
      </c>
      <c r="C253" s="5" t="s">
        <v>1</v>
      </c>
    </row>
    <row r="254" spans="1:3" x14ac:dyDescent="0.25">
      <c r="A254" s="6">
        <v>44562</v>
      </c>
      <c r="B254" s="7" t="s">
        <v>18</v>
      </c>
      <c r="C254" s="7" t="s">
        <v>2</v>
      </c>
    </row>
    <row r="255" spans="1:3" x14ac:dyDescent="0.25">
      <c r="A255" s="6">
        <v>44620</v>
      </c>
      <c r="B255" s="7" t="s">
        <v>3</v>
      </c>
      <c r="C255" s="7" t="s">
        <v>5</v>
      </c>
    </row>
    <row r="256" spans="1:3" x14ac:dyDescent="0.25">
      <c r="A256" s="6">
        <v>44621</v>
      </c>
      <c r="B256" s="7" t="s">
        <v>4</v>
      </c>
      <c r="C256" s="7" t="s">
        <v>5</v>
      </c>
    </row>
    <row r="257" spans="1:3" x14ac:dyDescent="0.25">
      <c r="A257" s="6">
        <v>44666</v>
      </c>
      <c r="B257" s="7" t="s">
        <v>6</v>
      </c>
      <c r="C257" s="7" t="s">
        <v>7</v>
      </c>
    </row>
    <row r="258" spans="1:3" x14ac:dyDescent="0.25">
      <c r="A258" s="6">
        <v>44672</v>
      </c>
      <c r="B258" s="7" t="s">
        <v>0</v>
      </c>
      <c r="C258" s="7" t="s">
        <v>8</v>
      </c>
    </row>
    <row r="259" spans="1:3" x14ac:dyDescent="0.25">
      <c r="A259" s="6">
        <v>44682</v>
      </c>
      <c r="B259" s="7" t="s">
        <v>20</v>
      </c>
      <c r="C259" s="7" t="s">
        <v>9</v>
      </c>
    </row>
    <row r="260" spans="1:3" x14ac:dyDescent="0.25">
      <c r="A260" s="6">
        <v>44728</v>
      </c>
      <c r="B260" s="7" t="s">
        <v>0</v>
      </c>
      <c r="C260" s="7" t="s">
        <v>10</v>
      </c>
    </row>
    <row r="261" spans="1:3" x14ac:dyDescent="0.25">
      <c r="A261" s="6">
        <v>44811</v>
      </c>
      <c r="B261" s="7" t="s">
        <v>13</v>
      </c>
      <c r="C261" s="7" t="s">
        <v>11</v>
      </c>
    </row>
    <row r="262" spans="1:3" x14ac:dyDescent="0.25">
      <c r="A262" s="6">
        <v>44846</v>
      </c>
      <c r="B262" s="7" t="s">
        <v>13</v>
      </c>
      <c r="C262" s="7" t="s">
        <v>19</v>
      </c>
    </row>
    <row r="263" spans="1:3" x14ac:dyDescent="0.25">
      <c r="A263" s="6">
        <v>44867</v>
      </c>
      <c r="B263" s="7" t="s">
        <v>13</v>
      </c>
      <c r="C263" s="7" t="s">
        <v>12</v>
      </c>
    </row>
    <row r="264" spans="1:3" x14ac:dyDescent="0.25">
      <c r="A264" s="6">
        <v>44880</v>
      </c>
      <c r="B264" s="7" t="s">
        <v>4</v>
      </c>
      <c r="C264" s="7" t="s">
        <v>14</v>
      </c>
    </row>
    <row r="265" spans="1:3" x14ac:dyDescent="0.25">
      <c r="A265" s="6">
        <v>44920</v>
      </c>
      <c r="B265" s="7" t="s">
        <v>20</v>
      </c>
      <c r="C265" s="7" t="s">
        <v>1</v>
      </c>
    </row>
    <row r="266" spans="1:3" x14ac:dyDescent="0.25">
      <c r="A266" s="4">
        <v>44927</v>
      </c>
      <c r="B266" s="5" t="s">
        <v>20</v>
      </c>
      <c r="C266" s="5" t="s">
        <v>2</v>
      </c>
    </row>
    <row r="267" spans="1:3" x14ac:dyDescent="0.25">
      <c r="A267" s="4">
        <v>44977</v>
      </c>
      <c r="B267" s="5" t="s">
        <v>3</v>
      </c>
      <c r="C267" s="5" t="s">
        <v>5</v>
      </c>
    </row>
    <row r="268" spans="1:3" x14ac:dyDescent="0.25">
      <c r="A268" s="4">
        <v>44978</v>
      </c>
      <c r="B268" s="5" t="s">
        <v>4</v>
      </c>
      <c r="C268" s="5" t="s">
        <v>5</v>
      </c>
    </row>
    <row r="269" spans="1:3" x14ac:dyDescent="0.25">
      <c r="A269" s="4">
        <v>45023</v>
      </c>
      <c r="B269" s="5" t="s">
        <v>6</v>
      </c>
      <c r="C269" s="5" t="s">
        <v>7</v>
      </c>
    </row>
    <row r="270" spans="1:3" x14ac:dyDescent="0.25">
      <c r="A270" s="4">
        <v>45037</v>
      </c>
      <c r="B270" s="5" t="s">
        <v>6</v>
      </c>
      <c r="C270" s="5" t="s">
        <v>8</v>
      </c>
    </row>
    <row r="271" spans="1:3" x14ac:dyDescent="0.25">
      <c r="A271" s="4">
        <v>45047</v>
      </c>
      <c r="B271" s="5" t="s">
        <v>3</v>
      </c>
      <c r="C271" s="5" t="s">
        <v>9</v>
      </c>
    </row>
    <row r="272" spans="1:3" x14ac:dyDescent="0.25">
      <c r="A272" s="4">
        <v>45085</v>
      </c>
      <c r="B272" s="5" t="s">
        <v>0</v>
      </c>
      <c r="C272" s="5" t="s">
        <v>10</v>
      </c>
    </row>
    <row r="273" spans="1:3" x14ac:dyDescent="0.25">
      <c r="A273" s="4">
        <v>45176</v>
      </c>
      <c r="B273" s="5" t="s">
        <v>0</v>
      </c>
      <c r="C273" s="5" t="s">
        <v>11</v>
      </c>
    </row>
    <row r="274" spans="1:3" x14ac:dyDescent="0.25">
      <c r="A274" s="4">
        <v>45211</v>
      </c>
      <c r="B274" s="5" t="s">
        <v>0</v>
      </c>
      <c r="C274" s="5" t="s">
        <v>19</v>
      </c>
    </row>
    <row r="275" spans="1:3" x14ac:dyDescent="0.25">
      <c r="A275" s="4">
        <v>45232</v>
      </c>
      <c r="B275" s="5" t="s">
        <v>0</v>
      </c>
      <c r="C275" s="5" t="s">
        <v>12</v>
      </c>
    </row>
    <row r="276" spans="1:3" x14ac:dyDescent="0.25">
      <c r="A276" s="4">
        <v>45245</v>
      </c>
      <c r="B276" s="5" t="s">
        <v>13</v>
      </c>
      <c r="C276" s="5" t="s">
        <v>14</v>
      </c>
    </row>
    <row r="277" spans="1:3" x14ac:dyDescent="0.25">
      <c r="A277" s="4">
        <v>45285</v>
      </c>
      <c r="B277" s="5" t="s">
        <v>3</v>
      </c>
      <c r="C277" s="5" t="s">
        <v>1</v>
      </c>
    </row>
    <row r="278" spans="1:3" x14ac:dyDescent="0.25">
      <c r="A278" s="6">
        <v>45292</v>
      </c>
      <c r="B278" s="7" t="s">
        <v>3</v>
      </c>
      <c r="C278" s="7" t="s">
        <v>2</v>
      </c>
    </row>
    <row r="279" spans="1:3" x14ac:dyDescent="0.25">
      <c r="A279" s="6">
        <v>45334</v>
      </c>
      <c r="B279" s="7" t="s">
        <v>3</v>
      </c>
      <c r="C279" s="7" t="s">
        <v>5</v>
      </c>
    </row>
    <row r="280" spans="1:3" x14ac:dyDescent="0.25">
      <c r="A280" s="6">
        <v>45335</v>
      </c>
      <c r="B280" s="7" t="s">
        <v>4</v>
      </c>
      <c r="C280" s="7" t="s">
        <v>5</v>
      </c>
    </row>
    <row r="281" spans="1:3" x14ac:dyDescent="0.25">
      <c r="A281" s="6">
        <v>45380</v>
      </c>
      <c r="B281" s="7" t="s">
        <v>6</v>
      </c>
      <c r="C281" s="7" t="s">
        <v>7</v>
      </c>
    </row>
    <row r="282" spans="1:3" x14ac:dyDescent="0.25">
      <c r="A282" s="6">
        <v>45403</v>
      </c>
      <c r="B282" s="7" t="s">
        <v>20</v>
      </c>
      <c r="C282" s="7" t="s">
        <v>8</v>
      </c>
    </row>
    <row r="283" spans="1:3" x14ac:dyDescent="0.25">
      <c r="A283" s="6">
        <v>45413</v>
      </c>
      <c r="B283" s="7" t="s">
        <v>13</v>
      </c>
      <c r="C283" s="7" t="s">
        <v>9</v>
      </c>
    </row>
    <row r="284" spans="1:3" x14ac:dyDescent="0.25">
      <c r="A284" s="6">
        <v>45442</v>
      </c>
      <c r="B284" s="7" t="s">
        <v>0</v>
      </c>
      <c r="C284" s="7" t="s">
        <v>10</v>
      </c>
    </row>
    <row r="285" spans="1:3" x14ac:dyDescent="0.25">
      <c r="A285" s="6">
        <v>45542</v>
      </c>
      <c r="B285" s="7" t="s">
        <v>18</v>
      </c>
      <c r="C285" s="7" t="s">
        <v>11</v>
      </c>
    </row>
    <row r="286" spans="1:3" x14ac:dyDescent="0.25">
      <c r="A286" s="6">
        <v>45577</v>
      </c>
      <c r="B286" s="7" t="s">
        <v>18</v>
      </c>
      <c r="C286" s="7" t="s">
        <v>19</v>
      </c>
    </row>
    <row r="287" spans="1:3" x14ac:dyDescent="0.25">
      <c r="A287" s="6">
        <v>45598</v>
      </c>
      <c r="B287" s="7" t="s">
        <v>18</v>
      </c>
      <c r="C287" s="7" t="s">
        <v>12</v>
      </c>
    </row>
    <row r="288" spans="1:3" x14ac:dyDescent="0.25">
      <c r="A288" s="6">
        <v>45611</v>
      </c>
      <c r="B288" s="7" t="s">
        <v>6</v>
      </c>
      <c r="C288" s="7" t="s">
        <v>14</v>
      </c>
    </row>
    <row r="289" spans="1:3" x14ac:dyDescent="0.25">
      <c r="A289" s="6">
        <v>45651</v>
      </c>
      <c r="B289" s="7" t="s">
        <v>13</v>
      </c>
      <c r="C289" s="7" t="s">
        <v>1</v>
      </c>
    </row>
    <row r="290" spans="1:3" x14ac:dyDescent="0.25">
      <c r="A290" s="4">
        <v>45658</v>
      </c>
      <c r="B290" s="5" t="s">
        <v>13</v>
      </c>
      <c r="C290" s="5" t="s">
        <v>2</v>
      </c>
    </row>
    <row r="291" spans="1:3" x14ac:dyDescent="0.25">
      <c r="A291" s="4">
        <v>45719</v>
      </c>
      <c r="B291" s="5" t="s">
        <v>3</v>
      </c>
      <c r="C291" s="5" t="s">
        <v>5</v>
      </c>
    </row>
    <row r="292" spans="1:3" x14ac:dyDescent="0.25">
      <c r="A292" s="4">
        <v>45720</v>
      </c>
      <c r="B292" s="5" t="s">
        <v>4</v>
      </c>
      <c r="C292" s="5" t="s">
        <v>5</v>
      </c>
    </row>
    <row r="293" spans="1:3" x14ac:dyDescent="0.25">
      <c r="A293" s="4">
        <v>45765</v>
      </c>
      <c r="B293" s="5" t="s">
        <v>6</v>
      </c>
      <c r="C293" s="5" t="s">
        <v>7</v>
      </c>
    </row>
    <row r="294" spans="1:3" x14ac:dyDescent="0.25">
      <c r="A294" s="4">
        <v>45768</v>
      </c>
      <c r="B294" s="5" t="s">
        <v>3</v>
      </c>
      <c r="C294" s="5" t="s">
        <v>8</v>
      </c>
    </row>
    <row r="295" spans="1:3" x14ac:dyDescent="0.25">
      <c r="A295" s="4">
        <v>45778</v>
      </c>
      <c r="B295" s="5" t="s">
        <v>0</v>
      </c>
      <c r="C295" s="5" t="s">
        <v>9</v>
      </c>
    </row>
    <row r="296" spans="1:3" x14ac:dyDescent="0.25">
      <c r="A296" s="4">
        <v>45827</v>
      </c>
      <c r="B296" s="5" t="s">
        <v>0</v>
      </c>
      <c r="C296" s="5" t="s">
        <v>10</v>
      </c>
    </row>
    <row r="297" spans="1:3" x14ac:dyDescent="0.25">
      <c r="A297" s="4">
        <v>45907</v>
      </c>
      <c r="B297" s="5" t="s">
        <v>20</v>
      </c>
      <c r="C297" s="5" t="s">
        <v>11</v>
      </c>
    </row>
    <row r="298" spans="1:3" x14ac:dyDescent="0.25">
      <c r="A298" s="4">
        <v>45942</v>
      </c>
      <c r="B298" s="5" t="s">
        <v>20</v>
      </c>
      <c r="C298" s="5" t="s">
        <v>19</v>
      </c>
    </row>
    <row r="299" spans="1:3" x14ac:dyDescent="0.25">
      <c r="A299" s="4">
        <v>45963</v>
      </c>
      <c r="B299" s="5" t="s">
        <v>20</v>
      </c>
      <c r="C299" s="5" t="s">
        <v>12</v>
      </c>
    </row>
    <row r="300" spans="1:3" x14ac:dyDescent="0.25">
      <c r="A300" s="4">
        <v>45976</v>
      </c>
      <c r="B300" s="5" t="s">
        <v>18</v>
      </c>
      <c r="C300" s="5" t="s">
        <v>14</v>
      </c>
    </row>
    <row r="301" spans="1:3" x14ac:dyDescent="0.25">
      <c r="A301" s="4">
        <v>46016</v>
      </c>
      <c r="B301" s="5" t="s">
        <v>0</v>
      </c>
      <c r="C301" s="5" t="s">
        <v>1</v>
      </c>
    </row>
    <row r="302" spans="1:3" x14ac:dyDescent="0.25">
      <c r="A302" s="6">
        <v>46023</v>
      </c>
      <c r="B302" s="7" t="s">
        <v>0</v>
      </c>
      <c r="C302" s="7" t="s">
        <v>2</v>
      </c>
    </row>
    <row r="303" spans="1:3" x14ac:dyDescent="0.25">
      <c r="A303" s="6">
        <v>46069</v>
      </c>
      <c r="B303" s="7" t="s">
        <v>3</v>
      </c>
      <c r="C303" s="7" t="s">
        <v>5</v>
      </c>
    </row>
    <row r="304" spans="1:3" x14ac:dyDescent="0.25">
      <c r="A304" s="6">
        <v>46070</v>
      </c>
      <c r="B304" s="7" t="s">
        <v>4</v>
      </c>
      <c r="C304" s="7" t="s">
        <v>5</v>
      </c>
    </row>
    <row r="305" spans="1:3" x14ac:dyDescent="0.25">
      <c r="A305" s="6">
        <v>46115</v>
      </c>
      <c r="B305" s="7" t="s">
        <v>6</v>
      </c>
      <c r="C305" s="7" t="s">
        <v>7</v>
      </c>
    </row>
    <row r="306" spans="1:3" x14ac:dyDescent="0.25">
      <c r="A306" s="6">
        <v>46133</v>
      </c>
      <c r="B306" s="7" t="s">
        <v>4</v>
      </c>
      <c r="C306" s="7" t="s">
        <v>8</v>
      </c>
    </row>
    <row r="307" spans="1:3" x14ac:dyDescent="0.25">
      <c r="A307" s="6">
        <v>46143</v>
      </c>
      <c r="B307" s="7" t="s">
        <v>6</v>
      </c>
      <c r="C307" s="7" t="s">
        <v>9</v>
      </c>
    </row>
    <row r="308" spans="1:3" x14ac:dyDescent="0.25">
      <c r="A308" s="6">
        <v>46177</v>
      </c>
      <c r="B308" s="7" t="s">
        <v>0</v>
      </c>
      <c r="C308" s="7" t="s">
        <v>10</v>
      </c>
    </row>
    <row r="309" spans="1:3" x14ac:dyDescent="0.25">
      <c r="A309" s="6">
        <v>46272</v>
      </c>
      <c r="B309" s="7" t="s">
        <v>3</v>
      </c>
      <c r="C309" s="7" t="s">
        <v>11</v>
      </c>
    </row>
    <row r="310" spans="1:3" x14ac:dyDescent="0.25">
      <c r="A310" s="6">
        <v>46307</v>
      </c>
      <c r="B310" s="7" t="s">
        <v>3</v>
      </c>
      <c r="C310" s="7" t="s">
        <v>19</v>
      </c>
    </row>
    <row r="311" spans="1:3" x14ac:dyDescent="0.25">
      <c r="A311" s="6">
        <v>46328</v>
      </c>
      <c r="B311" s="7" t="s">
        <v>3</v>
      </c>
      <c r="C311" s="7" t="s">
        <v>12</v>
      </c>
    </row>
    <row r="312" spans="1:3" x14ac:dyDescent="0.25">
      <c r="A312" s="6">
        <v>46341</v>
      </c>
      <c r="B312" s="7" t="s">
        <v>20</v>
      </c>
      <c r="C312" s="7" t="s">
        <v>14</v>
      </c>
    </row>
    <row r="313" spans="1:3" x14ac:dyDescent="0.25">
      <c r="A313" s="6">
        <v>46381</v>
      </c>
      <c r="B313" s="7" t="s">
        <v>6</v>
      </c>
      <c r="C313" s="7" t="s">
        <v>1</v>
      </c>
    </row>
    <row r="314" spans="1:3" x14ac:dyDescent="0.25">
      <c r="A314" s="4">
        <v>46388</v>
      </c>
      <c r="B314" s="5" t="s">
        <v>6</v>
      </c>
      <c r="C314" s="5" t="s">
        <v>2</v>
      </c>
    </row>
    <row r="315" spans="1:3" x14ac:dyDescent="0.25">
      <c r="A315" s="4">
        <v>46426</v>
      </c>
      <c r="B315" s="5" t="s">
        <v>3</v>
      </c>
      <c r="C315" s="5" t="s">
        <v>5</v>
      </c>
    </row>
    <row r="316" spans="1:3" x14ac:dyDescent="0.25">
      <c r="A316" s="4">
        <v>46427</v>
      </c>
      <c r="B316" s="5" t="s">
        <v>4</v>
      </c>
      <c r="C316" s="5" t="s">
        <v>5</v>
      </c>
    </row>
    <row r="317" spans="1:3" x14ac:dyDescent="0.25">
      <c r="A317" s="4">
        <v>46472</v>
      </c>
      <c r="B317" s="5" t="s">
        <v>6</v>
      </c>
      <c r="C317" s="5" t="s">
        <v>7</v>
      </c>
    </row>
    <row r="318" spans="1:3" x14ac:dyDescent="0.25">
      <c r="A318" s="4">
        <v>46498</v>
      </c>
      <c r="B318" s="5" t="s">
        <v>13</v>
      </c>
      <c r="C318" s="5" t="s">
        <v>8</v>
      </c>
    </row>
    <row r="319" spans="1:3" x14ac:dyDescent="0.25">
      <c r="A319" s="4">
        <v>46508</v>
      </c>
      <c r="B319" s="5" t="s">
        <v>18</v>
      </c>
      <c r="C319" s="5" t="s">
        <v>9</v>
      </c>
    </row>
    <row r="320" spans="1:3" x14ac:dyDescent="0.25">
      <c r="A320" s="4">
        <v>46534</v>
      </c>
      <c r="B320" s="5" t="s">
        <v>0</v>
      </c>
      <c r="C320" s="5" t="s">
        <v>10</v>
      </c>
    </row>
    <row r="321" spans="1:3" x14ac:dyDescent="0.25">
      <c r="A321" s="4">
        <v>46637</v>
      </c>
      <c r="B321" s="5" t="s">
        <v>4</v>
      </c>
      <c r="C321" s="5" t="s">
        <v>11</v>
      </c>
    </row>
    <row r="322" spans="1:3" x14ac:dyDescent="0.25">
      <c r="A322" s="4">
        <v>46672</v>
      </c>
      <c r="B322" s="5" t="s">
        <v>4</v>
      </c>
      <c r="C322" s="5" t="s">
        <v>19</v>
      </c>
    </row>
    <row r="323" spans="1:3" x14ac:dyDescent="0.25">
      <c r="A323" s="4">
        <v>46693</v>
      </c>
      <c r="B323" s="5" t="s">
        <v>4</v>
      </c>
      <c r="C323" s="5" t="s">
        <v>12</v>
      </c>
    </row>
    <row r="324" spans="1:3" x14ac:dyDescent="0.25">
      <c r="A324" s="4">
        <v>46706</v>
      </c>
      <c r="B324" s="5" t="s">
        <v>3</v>
      </c>
      <c r="C324" s="5" t="s">
        <v>14</v>
      </c>
    </row>
    <row r="325" spans="1:3" x14ac:dyDescent="0.25">
      <c r="A325" s="4">
        <v>46746</v>
      </c>
      <c r="B325" s="5" t="s">
        <v>18</v>
      </c>
      <c r="C325" s="5" t="s">
        <v>1</v>
      </c>
    </row>
    <row r="326" spans="1:3" x14ac:dyDescent="0.25">
      <c r="A326" s="6">
        <v>46753</v>
      </c>
      <c r="B326" s="7" t="s">
        <v>18</v>
      </c>
      <c r="C326" s="7" t="s">
        <v>2</v>
      </c>
    </row>
    <row r="327" spans="1:3" x14ac:dyDescent="0.25">
      <c r="A327" s="6">
        <v>46811</v>
      </c>
      <c r="B327" s="7" t="s">
        <v>3</v>
      </c>
      <c r="C327" s="7" t="s">
        <v>5</v>
      </c>
    </row>
    <row r="328" spans="1:3" x14ac:dyDescent="0.25">
      <c r="A328" s="6">
        <v>46812</v>
      </c>
      <c r="B328" s="7" t="s">
        <v>4</v>
      </c>
      <c r="C328" s="7" t="s">
        <v>5</v>
      </c>
    </row>
    <row r="329" spans="1:3" x14ac:dyDescent="0.25">
      <c r="A329" s="6">
        <v>46857</v>
      </c>
      <c r="B329" s="7" t="s">
        <v>6</v>
      </c>
      <c r="C329" s="7" t="s">
        <v>7</v>
      </c>
    </row>
    <row r="330" spans="1:3" x14ac:dyDescent="0.25">
      <c r="A330" s="6">
        <v>46864</v>
      </c>
      <c r="B330" s="7" t="s">
        <v>6</v>
      </c>
      <c r="C330" s="7" t="s">
        <v>8</v>
      </c>
    </row>
    <row r="331" spans="1:3" x14ac:dyDescent="0.25">
      <c r="A331" s="6">
        <v>46874</v>
      </c>
      <c r="B331" s="7" t="s">
        <v>3</v>
      </c>
      <c r="C331" s="7" t="s">
        <v>9</v>
      </c>
    </row>
    <row r="332" spans="1:3" x14ac:dyDescent="0.25">
      <c r="A332" s="6">
        <v>46919</v>
      </c>
      <c r="B332" s="7" t="s">
        <v>0</v>
      </c>
      <c r="C332" s="7" t="s">
        <v>10</v>
      </c>
    </row>
    <row r="333" spans="1:3" x14ac:dyDescent="0.25">
      <c r="A333" s="6">
        <v>47003</v>
      </c>
      <c r="B333" s="7" t="s">
        <v>0</v>
      </c>
      <c r="C333" s="7" t="s">
        <v>11</v>
      </c>
    </row>
    <row r="334" spans="1:3" x14ac:dyDescent="0.25">
      <c r="A334" s="6">
        <v>47038</v>
      </c>
      <c r="B334" s="7" t="s">
        <v>0</v>
      </c>
      <c r="C334" s="7" t="s">
        <v>19</v>
      </c>
    </row>
    <row r="335" spans="1:3" x14ac:dyDescent="0.25">
      <c r="A335" s="6">
        <v>47059</v>
      </c>
      <c r="B335" s="7" t="s">
        <v>0</v>
      </c>
      <c r="C335" s="7" t="s">
        <v>12</v>
      </c>
    </row>
    <row r="336" spans="1:3" x14ac:dyDescent="0.25">
      <c r="A336" s="6">
        <v>47072</v>
      </c>
      <c r="B336" s="7" t="s">
        <v>13</v>
      </c>
      <c r="C336" s="7" t="s">
        <v>14</v>
      </c>
    </row>
    <row r="337" spans="1:3" x14ac:dyDescent="0.25">
      <c r="A337" s="6">
        <v>47112</v>
      </c>
      <c r="B337" s="7" t="s">
        <v>3</v>
      </c>
      <c r="C337" s="7" t="s">
        <v>1</v>
      </c>
    </row>
    <row r="338" spans="1:3" x14ac:dyDescent="0.25">
      <c r="A338" s="4">
        <v>47119</v>
      </c>
      <c r="B338" s="5" t="s">
        <v>3</v>
      </c>
      <c r="C338" s="5" t="s">
        <v>2</v>
      </c>
    </row>
    <row r="339" spans="1:3" x14ac:dyDescent="0.25">
      <c r="A339" s="4">
        <v>47161</v>
      </c>
      <c r="B339" s="5" t="s">
        <v>3</v>
      </c>
      <c r="C339" s="5" t="s">
        <v>5</v>
      </c>
    </row>
    <row r="340" spans="1:3" x14ac:dyDescent="0.25">
      <c r="A340" s="4">
        <v>47162</v>
      </c>
      <c r="B340" s="5" t="s">
        <v>4</v>
      </c>
      <c r="C340" s="5" t="s">
        <v>5</v>
      </c>
    </row>
    <row r="341" spans="1:3" x14ac:dyDescent="0.25">
      <c r="A341" s="4">
        <v>47207</v>
      </c>
      <c r="B341" s="5" t="s">
        <v>6</v>
      </c>
      <c r="C341" s="5" t="s">
        <v>7</v>
      </c>
    </row>
    <row r="342" spans="1:3" x14ac:dyDescent="0.25">
      <c r="A342" s="4">
        <v>47229</v>
      </c>
      <c r="B342" s="5" t="s">
        <v>18</v>
      </c>
      <c r="C342" s="5" t="s">
        <v>8</v>
      </c>
    </row>
    <row r="343" spans="1:3" x14ac:dyDescent="0.25">
      <c r="A343" s="4">
        <v>47239</v>
      </c>
      <c r="B343" s="5" t="s">
        <v>4</v>
      </c>
      <c r="C343" s="5" t="s">
        <v>9</v>
      </c>
    </row>
    <row r="344" spans="1:3" x14ac:dyDescent="0.25">
      <c r="A344" s="4">
        <v>47269</v>
      </c>
      <c r="B344" s="5" t="s">
        <v>0</v>
      </c>
      <c r="C344" s="5" t="s">
        <v>10</v>
      </c>
    </row>
    <row r="345" spans="1:3" x14ac:dyDescent="0.25">
      <c r="A345" s="4">
        <v>47368</v>
      </c>
      <c r="B345" s="5" t="s">
        <v>6</v>
      </c>
      <c r="C345" s="5" t="s">
        <v>11</v>
      </c>
    </row>
    <row r="346" spans="1:3" x14ac:dyDescent="0.25">
      <c r="A346" s="4">
        <v>47403</v>
      </c>
      <c r="B346" s="5" t="s">
        <v>6</v>
      </c>
      <c r="C346" s="5" t="s">
        <v>19</v>
      </c>
    </row>
    <row r="347" spans="1:3" x14ac:dyDescent="0.25">
      <c r="A347" s="4">
        <v>47424</v>
      </c>
      <c r="B347" s="5" t="s">
        <v>6</v>
      </c>
      <c r="C347" s="5" t="s">
        <v>12</v>
      </c>
    </row>
    <row r="348" spans="1:3" x14ac:dyDescent="0.25">
      <c r="A348" s="4">
        <v>47437</v>
      </c>
      <c r="B348" s="5" t="s">
        <v>0</v>
      </c>
      <c r="C348" s="5" t="s">
        <v>14</v>
      </c>
    </row>
    <row r="349" spans="1:3" x14ac:dyDescent="0.25">
      <c r="A349" s="4">
        <v>47477</v>
      </c>
      <c r="B349" s="5" t="s">
        <v>4</v>
      </c>
      <c r="C349" s="5" t="s">
        <v>1</v>
      </c>
    </row>
    <row r="350" spans="1:3" x14ac:dyDescent="0.25">
      <c r="A350" s="6">
        <v>47484</v>
      </c>
      <c r="B350" s="7" t="s">
        <v>4</v>
      </c>
      <c r="C350" s="7" t="s">
        <v>2</v>
      </c>
    </row>
    <row r="351" spans="1:3" x14ac:dyDescent="0.25">
      <c r="A351" s="6">
        <v>47546</v>
      </c>
      <c r="B351" s="7" t="s">
        <v>3</v>
      </c>
      <c r="C351" s="7" t="s">
        <v>5</v>
      </c>
    </row>
    <row r="352" spans="1:3" x14ac:dyDescent="0.25">
      <c r="A352" s="6">
        <v>47547</v>
      </c>
      <c r="B352" s="7" t="s">
        <v>4</v>
      </c>
      <c r="C352" s="7" t="s">
        <v>5</v>
      </c>
    </row>
    <row r="353" spans="1:3" x14ac:dyDescent="0.25">
      <c r="A353" s="6">
        <v>47592</v>
      </c>
      <c r="B353" s="7" t="s">
        <v>6</v>
      </c>
      <c r="C353" s="7" t="s">
        <v>7</v>
      </c>
    </row>
    <row r="354" spans="1:3" x14ac:dyDescent="0.25">
      <c r="A354" s="6">
        <v>47594</v>
      </c>
      <c r="B354" s="7" t="s">
        <v>20</v>
      </c>
      <c r="C354" s="7" t="s">
        <v>8</v>
      </c>
    </row>
    <row r="355" spans="1:3" x14ac:dyDescent="0.25">
      <c r="A355" s="6">
        <v>47604</v>
      </c>
      <c r="B355" s="7" t="s">
        <v>13</v>
      </c>
      <c r="C355" s="7" t="s">
        <v>9</v>
      </c>
    </row>
    <row r="356" spans="1:3" x14ac:dyDescent="0.25">
      <c r="A356" s="6">
        <v>47654</v>
      </c>
      <c r="B356" s="7" t="s">
        <v>0</v>
      </c>
      <c r="C356" s="7" t="s">
        <v>10</v>
      </c>
    </row>
    <row r="357" spans="1:3" x14ac:dyDescent="0.25">
      <c r="A357" s="6">
        <v>47733</v>
      </c>
      <c r="B357" s="7" t="s">
        <v>18</v>
      </c>
      <c r="C357" s="7" t="s">
        <v>11</v>
      </c>
    </row>
    <row r="358" spans="1:3" x14ac:dyDescent="0.25">
      <c r="A358" s="6">
        <v>47768</v>
      </c>
      <c r="B358" s="7" t="s">
        <v>18</v>
      </c>
      <c r="C358" s="7" t="s">
        <v>19</v>
      </c>
    </row>
    <row r="359" spans="1:3" x14ac:dyDescent="0.25">
      <c r="A359" s="6">
        <v>47789</v>
      </c>
      <c r="B359" s="7" t="s">
        <v>18</v>
      </c>
      <c r="C359" s="7" t="s">
        <v>12</v>
      </c>
    </row>
    <row r="360" spans="1:3" x14ac:dyDescent="0.25">
      <c r="A360" s="6">
        <v>47802</v>
      </c>
      <c r="B360" s="7" t="s">
        <v>6</v>
      </c>
      <c r="C360" s="7" t="s">
        <v>14</v>
      </c>
    </row>
    <row r="361" spans="1:3" x14ac:dyDescent="0.25">
      <c r="A361" s="6">
        <v>47842</v>
      </c>
      <c r="B361" s="7" t="s">
        <v>13</v>
      </c>
      <c r="C361" s="7" t="s">
        <v>1</v>
      </c>
    </row>
    <row r="362" spans="1:3" x14ac:dyDescent="0.25">
      <c r="A362" s="4">
        <v>47849</v>
      </c>
      <c r="B362" s="5" t="s">
        <v>13</v>
      </c>
      <c r="C362" s="5" t="s">
        <v>2</v>
      </c>
    </row>
    <row r="363" spans="1:3" x14ac:dyDescent="0.25">
      <c r="A363" s="4">
        <v>47903</v>
      </c>
      <c r="B363" s="5" t="s">
        <v>3</v>
      </c>
      <c r="C363" s="5" t="s">
        <v>5</v>
      </c>
    </row>
    <row r="364" spans="1:3" x14ac:dyDescent="0.25">
      <c r="A364" s="4">
        <v>47904</v>
      </c>
      <c r="B364" s="5" t="s">
        <v>4</v>
      </c>
      <c r="C364" s="5" t="s">
        <v>5</v>
      </c>
    </row>
    <row r="365" spans="1:3" x14ac:dyDescent="0.25">
      <c r="A365" s="4">
        <v>47949</v>
      </c>
      <c r="B365" s="5" t="s">
        <v>6</v>
      </c>
      <c r="C365" s="5" t="s">
        <v>7</v>
      </c>
    </row>
    <row r="366" spans="1:3" x14ac:dyDescent="0.25">
      <c r="A366" s="4">
        <v>47959</v>
      </c>
      <c r="B366" s="5" t="s">
        <v>3</v>
      </c>
      <c r="C366" s="5" t="s">
        <v>8</v>
      </c>
    </row>
    <row r="367" spans="1:3" x14ac:dyDescent="0.25">
      <c r="A367" s="4">
        <v>47969</v>
      </c>
      <c r="B367" s="5" t="s">
        <v>0</v>
      </c>
      <c r="C367" s="5" t="s">
        <v>9</v>
      </c>
    </row>
    <row r="368" spans="1:3" x14ac:dyDescent="0.25">
      <c r="A368" s="4">
        <v>48011</v>
      </c>
      <c r="B368" s="5" t="s">
        <v>0</v>
      </c>
      <c r="C368" s="5" t="s">
        <v>10</v>
      </c>
    </row>
    <row r="369" spans="1:3" x14ac:dyDescent="0.25">
      <c r="A369" s="4">
        <v>48098</v>
      </c>
      <c r="B369" s="5" t="s">
        <v>20</v>
      </c>
      <c r="C369" s="5" t="s">
        <v>11</v>
      </c>
    </row>
    <row r="370" spans="1:3" x14ac:dyDescent="0.25">
      <c r="A370" s="4">
        <v>48133</v>
      </c>
      <c r="B370" s="5" t="s">
        <v>20</v>
      </c>
      <c r="C370" s="5" t="s">
        <v>19</v>
      </c>
    </row>
    <row r="371" spans="1:3" x14ac:dyDescent="0.25">
      <c r="A371" s="4">
        <v>48154</v>
      </c>
      <c r="B371" s="5" t="s">
        <v>20</v>
      </c>
      <c r="C371" s="5" t="s">
        <v>12</v>
      </c>
    </row>
    <row r="372" spans="1:3" x14ac:dyDescent="0.25">
      <c r="A372" s="4">
        <v>48167</v>
      </c>
      <c r="B372" s="5" t="s">
        <v>18</v>
      </c>
      <c r="C372" s="5" t="s">
        <v>14</v>
      </c>
    </row>
    <row r="373" spans="1:3" x14ac:dyDescent="0.25">
      <c r="A373" s="4">
        <v>48207</v>
      </c>
      <c r="B373" s="5" t="s">
        <v>0</v>
      </c>
      <c r="C373" s="5" t="s">
        <v>1</v>
      </c>
    </row>
    <row r="374" spans="1:3" x14ac:dyDescent="0.25">
      <c r="A374" s="6">
        <v>48214</v>
      </c>
      <c r="B374" s="7" t="s">
        <v>0</v>
      </c>
      <c r="C374" s="7" t="s">
        <v>2</v>
      </c>
    </row>
    <row r="375" spans="1:3" x14ac:dyDescent="0.25">
      <c r="A375" s="6">
        <v>48253</v>
      </c>
      <c r="B375" s="7" t="s">
        <v>3</v>
      </c>
      <c r="C375" s="7" t="s">
        <v>5</v>
      </c>
    </row>
    <row r="376" spans="1:3" x14ac:dyDescent="0.25">
      <c r="A376" s="6">
        <v>48254</v>
      </c>
      <c r="B376" s="7" t="s">
        <v>4</v>
      </c>
      <c r="C376" s="7" t="s">
        <v>5</v>
      </c>
    </row>
    <row r="377" spans="1:3" x14ac:dyDescent="0.25">
      <c r="A377" s="6">
        <v>48299</v>
      </c>
      <c r="B377" s="7" t="s">
        <v>6</v>
      </c>
      <c r="C377" s="7" t="s">
        <v>7</v>
      </c>
    </row>
    <row r="378" spans="1:3" x14ac:dyDescent="0.25">
      <c r="A378" s="6">
        <v>48325</v>
      </c>
      <c r="B378" s="7" t="s">
        <v>13</v>
      </c>
      <c r="C378" s="7" t="s">
        <v>8</v>
      </c>
    </row>
    <row r="379" spans="1:3" x14ac:dyDescent="0.25">
      <c r="A379" s="6">
        <v>48335</v>
      </c>
      <c r="B379" s="7" t="s">
        <v>18</v>
      </c>
      <c r="C379" s="7" t="s">
        <v>9</v>
      </c>
    </row>
    <row r="380" spans="1:3" x14ac:dyDescent="0.25">
      <c r="A380" s="6">
        <v>48361</v>
      </c>
      <c r="B380" s="7" t="s">
        <v>0</v>
      </c>
      <c r="C380" s="7" t="s">
        <v>10</v>
      </c>
    </row>
    <row r="381" spans="1:3" x14ac:dyDescent="0.25">
      <c r="A381" s="6">
        <v>48464</v>
      </c>
      <c r="B381" s="7" t="s">
        <v>4</v>
      </c>
      <c r="C381" s="7" t="s">
        <v>11</v>
      </c>
    </row>
    <row r="382" spans="1:3" x14ac:dyDescent="0.25">
      <c r="A382" s="6">
        <v>48499</v>
      </c>
      <c r="B382" s="7" t="s">
        <v>4</v>
      </c>
      <c r="C382" s="7" t="s">
        <v>19</v>
      </c>
    </row>
    <row r="383" spans="1:3" x14ac:dyDescent="0.25">
      <c r="A383" s="6">
        <v>48520</v>
      </c>
      <c r="B383" s="7" t="s">
        <v>4</v>
      </c>
      <c r="C383" s="7" t="s">
        <v>12</v>
      </c>
    </row>
    <row r="384" spans="1:3" x14ac:dyDescent="0.25">
      <c r="A384" s="6">
        <v>48533</v>
      </c>
      <c r="B384" s="7" t="s">
        <v>3</v>
      </c>
      <c r="C384" s="7" t="s">
        <v>14</v>
      </c>
    </row>
    <row r="385" spans="1:3" x14ac:dyDescent="0.25">
      <c r="A385" s="6">
        <v>48573</v>
      </c>
      <c r="B385" s="7" t="s">
        <v>18</v>
      </c>
      <c r="C385" s="7" t="s">
        <v>1</v>
      </c>
    </row>
    <row r="386" spans="1:3" x14ac:dyDescent="0.25">
      <c r="A386" s="6">
        <v>48580</v>
      </c>
      <c r="B386" s="7" t="s">
        <v>18</v>
      </c>
      <c r="C386" s="7" t="s">
        <v>2</v>
      </c>
    </row>
    <row r="387" spans="1:3" x14ac:dyDescent="0.25">
      <c r="A387" s="4">
        <v>48638</v>
      </c>
      <c r="B387" s="5" t="s">
        <v>3</v>
      </c>
      <c r="C387" s="5" t="s">
        <v>5</v>
      </c>
    </row>
    <row r="388" spans="1:3" x14ac:dyDescent="0.25">
      <c r="A388" s="4">
        <v>48639</v>
      </c>
      <c r="B388" s="5" t="s">
        <v>4</v>
      </c>
      <c r="C388" s="5" t="s">
        <v>5</v>
      </c>
    </row>
    <row r="389" spans="1:3" x14ac:dyDescent="0.25">
      <c r="A389" s="4">
        <v>48684</v>
      </c>
      <c r="B389" s="5" t="s">
        <v>6</v>
      </c>
      <c r="C389" s="5" t="s">
        <v>7</v>
      </c>
    </row>
    <row r="390" spans="1:3" x14ac:dyDescent="0.25">
      <c r="A390" s="4">
        <v>48690</v>
      </c>
      <c r="B390" s="5" t="s">
        <v>0</v>
      </c>
      <c r="C390" s="5" t="s">
        <v>8</v>
      </c>
    </row>
    <row r="391" spans="1:3" x14ac:dyDescent="0.25">
      <c r="A391" s="4">
        <v>48700</v>
      </c>
      <c r="B391" s="5" t="s">
        <v>20</v>
      </c>
      <c r="C391" s="5" t="s">
        <v>9</v>
      </c>
    </row>
    <row r="392" spans="1:3" x14ac:dyDescent="0.25">
      <c r="A392" s="4">
        <v>48746</v>
      </c>
      <c r="B392" s="5" t="s">
        <v>0</v>
      </c>
      <c r="C392" s="5" t="s">
        <v>10</v>
      </c>
    </row>
    <row r="393" spans="1:3" x14ac:dyDescent="0.25">
      <c r="A393" s="4">
        <v>48829</v>
      </c>
      <c r="B393" s="5" t="s">
        <v>13</v>
      </c>
      <c r="C393" s="5" t="s">
        <v>11</v>
      </c>
    </row>
    <row r="394" spans="1:3" x14ac:dyDescent="0.25">
      <c r="A394" s="4">
        <v>48864</v>
      </c>
      <c r="B394" s="5" t="s">
        <v>13</v>
      </c>
      <c r="C394" s="5" t="s">
        <v>19</v>
      </c>
    </row>
    <row r="395" spans="1:3" x14ac:dyDescent="0.25">
      <c r="A395" s="4">
        <v>48885</v>
      </c>
      <c r="B395" s="5" t="s">
        <v>13</v>
      </c>
      <c r="C395" s="5" t="s">
        <v>12</v>
      </c>
    </row>
    <row r="396" spans="1:3" x14ac:dyDescent="0.25">
      <c r="A396" s="4">
        <v>48898</v>
      </c>
      <c r="B396" s="5" t="s">
        <v>4</v>
      </c>
      <c r="C396" s="5" t="s">
        <v>14</v>
      </c>
    </row>
    <row r="397" spans="1:3" x14ac:dyDescent="0.25">
      <c r="A397" s="4">
        <v>48938</v>
      </c>
      <c r="B397" s="5" t="s">
        <v>20</v>
      </c>
      <c r="C397" s="5" t="s">
        <v>1</v>
      </c>
    </row>
    <row r="398" spans="1:3" x14ac:dyDescent="0.25">
      <c r="A398" s="6">
        <v>48945</v>
      </c>
      <c r="B398" s="7" t="s">
        <v>20</v>
      </c>
      <c r="C398" s="7" t="s">
        <v>2</v>
      </c>
    </row>
    <row r="399" spans="1:3" x14ac:dyDescent="0.25">
      <c r="A399" s="6">
        <v>48995</v>
      </c>
      <c r="B399" s="7" t="s">
        <v>3</v>
      </c>
      <c r="C399" s="7" t="s">
        <v>5</v>
      </c>
    </row>
    <row r="400" spans="1:3" x14ac:dyDescent="0.25">
      <c r="A400" s="6">
        <v>48996</v>
      </c>
      <c r="B400" s="7" t="s">
        <v>4</v>
      </c>
      <c r="C400" s="7" t="s">
        <v>5</v>
      </c>
    </row>
    <row r="401" spans="1:3" x14ac:dyDescent="0.25">
      <c r="A401" s="6">
        <v>49041</v>
      </c>
      <c r="B401" s="7" t="s">
        <v>6</v>
      </c>
      <c r="C401" s="7" t="s">
        <v>7</v>
      </c>
    </row>
    <row r="402" spans="1:3" x14ac:dyDescent="0.25">
      <c r="A402" s="6">
        <v>49055</v>
      </c>
      <c r="B402" s="7" t="s">
        <v>6</v>
      </c>
      <c r="C402" s="7" t="s">
        <v>8</v>
      </c>
    </row>
    <row r="403" spans="1:3" x14ac:dyDescent="0.25">
      <c r="A403" s="6">
        <v>49065</v>
      </c>
      <c r="B403" s="7" t="s">
        <v>3</v>
      </c>
      <c r="C403" s="7" t="s">
        <v>9</v>
      </c>
    </row>
    <row r="404" spans="1:3" x14ac:dyDescent="0.25">
      <c r="A404" s="6">
        <v>49103</v>
      </c>
      <c r="B404" s="7" t="s">
        <v>0</v>
      </c>
      <c r="C404" s="7" t="s">
        <v>10</v>
      </c>
    </row>
    <row r="405" spans="1:3" x14ac:dyDescent="0.25">
      <c r="A405" s="6">
        <v>49194</v>
      </c>
      <c r="B405" s="7" t="s">
        <v>0</v>
      </c>
      <c r="C405" s="7" t="s">
        <v>11</v>
      </c>
    </row>
    <row r="406" spans="1:3" x14ac:dyDescent="0.25">
      <c r="A406" s="6">
        <v>49229</v>
      </c>
      <c r="B406" s="7" t="s">
        <v>0</v>
      </c>
      <c r="C406" s="7" t="s">
        <v>19</v>
      </c>
    </row>
    <row r="407" spans="1:3" x14ac:dyDescent="0.25">
      <c r="A407" s="6">
        <v>49250</v>
      </c>
      <c r="B407" s="7" t="s">
        <v>0</v>
      </c>
      <c r="C407" s="7" t="s">
        <v>12</v>
      </c>
    </row>
    <row r="408" spans="1:3" x14ac:dyDescent="0.25">
      <c r="A408" s="6">
        <v>49263</v>
      </c>
      <c r="B408" s="7" t="s">
        <v>13</v>
      </c>
      <c r="C408" s="7" t="s">
        <v>14</v>
      </c>
    </row>
    <row r="409" spans="1:3" x14ac:dyDescent="0.25">
      <c r="A409" s="6">
        <v>49303</v>
      </c>
      <c r="B409" s="7" t="s">
        <v>3</v>
      </c>
      <c r="C409" s="7" t="s">
        <v>1</v>
      </c>
    </row>
    <row r="410" spans="1:3" x14ac:dyDescent="0.25">
      <c r="A410" s="4">
        <v>49310</v>
      </c>
      <c r="B410" s="5" t="s">
        <v>3</v>
      </c>
      <c r="C410" s="5" t="s">
        <v>2</v>
      </c>
    </row>
    <row r="411" spans="1:3" x14ac:dyDescent="0.25">
      <c r="A411" s="4">
        <v>49345</v>
      </c>
      <c r="B411" s="5" t="s">
        <v>3</v>
      </c>
      <c r="C411" s="5" t="s">
        <v>5</v>
      </c>
    </row>
    <row r="412" spans="1:3" x14ac:dyDescent="0.25">
      <c r="A412" s="4">
        <v>49346</v>
      </c>
      <c r="B412" s="5" t="s">
        <v>4</v>
      </c>
      <c r="C412" s="5" t="s">
        <v>5</v>
      </c>
    </row>
    <row r="413" spans="1:3" x14ac:dyDescent="0.25">
      <c r="A413" s="4">
        <v>49391</v>
      </c>
      <c r="B413" s="5" t="s">
        <v>6</v>
      </c>
      <c r="C413" s="5" t="s">
        <v>7</v>
      </c>
    </row>
    <row r="414" spans="1:3" x14ac:dyDescent="0.25">
      <c r="A414" s="4">
        <v>49420</v>
      </c>
      <c r="B414" s="5" t="s">
        <v>18</v>
      </c>
      <c r="C414" s="5" t="s">
        <v>8</v>
      </c>
    </row>
    <row r="415" spans="1:3" x14ac:dyDescent="0.25">
      <c r="A415" s="4">
        <v>49430</v>
      </c>
      <c r="B415" s="5" t="s">
        <v>4</v>
      </c>
      <c r="C415" s="5" t="s">
        <v>9</v>
      </c>
    </row>
    <row r="416" spans="1:3" x14ac:dyDescent="0.25">
      <c r="A416" s="4">
        <v>49453</v>
      </c>
      <c r="B416" s="5" t="s">
        <v>0</v>
      </c>
      <c r="C416" s="5" t="s">
        <v>10</v>
      </c>
    </row>
    <row r="417" spans="1:3" x14ac:dyDescent="0.25">
      <c r="A417" s="4">
        <v>49559</v>
      </c>
      <c r="B417" s="5" t="s">
        <v>6</v>
      </c>
      <c r="C417" s="5" t="s">
        <v>11</v>
      </c>
    </row>
    <row r="418" spans="1:3" x14ac:dyDescent="0.25">
      <c r="A418" s="4">
        <v>49594</v>
      </c>
      <c r="B418" s="5" t="s">
        <v>6</v>
      </c>
      <c r="C418" s="5" t="s">
        <v>19</v>
      </c>
    </row>
    <row r="419" spans="1:3" x14ac:dyDescent="0.25">
      <c r="A419" s="4">
        <v>49615</v>
      </c>
      <c r="B419" s="5" t="s">
        <v>6</v>
      </c>
      <c r="C419" s="5" t="s">
        <v>12</v>
      </c>
    </row>
    <row r="420" spans="1:3" x14ac:dyDescent="0.25">
      <c r="A420" s="4">
        <v>49628</v>
      </c>
      <c r="B420" s="5" t="s">
        <v>0</v>
      </c>
      <c r="C420" s="5" t="s">
        <v>14</v>
      </c>
    </row>
    <row r="421" spans="1:3" x14ac:dyDescent="0.25">
      <c r="A421" s="4">
        <v>49668</v>
      </c>
      <c r="B421" s="5" t="s">
        <v>4</v>
      </c>
      <c r="C421" s="5" t="s">
        <v>1</v>
      </c>
    </row>
    <row r="422" spans="1:3" x14ac:dyDescent="0.25">
      <c r="A422" s="6">
        <v>49675</v>
      </c>
      <c r="B422" s="7" t="s">
        <v>4</v>
      </c>
      <c r="C422" s="7" t="s">
        <v>2</v>
      </c>
    </row>
    <row r="423" spans="1:3" x14ac:dyDescent="0.25">
      <c r="A423" s="6">
        <v>49730</v>
      </c>
      <c r="B423" s="7" t="s">
        <v>3</v>
      </c>
      <c r="C423" s="7" t="s">
        <v>5</v>
      </c>
    </row>
    <row r="424" spans="1:3" x14ac:dyDescent="0.25">
      <c r="A424" s="6">
        <v>49731</v>
      </c>
      <c r="B424" s="7" t="s">
        <v>4</v>
      </c>
      <c r="C424" s="7" t="s">
        <v>5</v>
      </c>
    </row>
    <row r="425" spans="1:3" x14ac:dyDescent="0.25">
      <c r="A425" s="6">
        <v>49776</v>
      </c>
      <c r="B425" s="7" t="s">
        <v>6</v>
      </c>
      <c r="C425" s="7" t="s">
        <v>7</v>
      </c>
    </row>
    <row r="426" spans="1:3" x14ac:dyDescent="0.25">
      <c r="A426" s="6">
        <v>49786</v>
      </c>
      <c r="B426" s="7" t="s">
        <v>3</v>
      </c>
      <c r="C426" s="7" t="s">
        <v>8</v>
      </c>
    </row>
    <row r="427" spans="1:3" x14ac:dyDescent="0.25">
      <c r="A427" s="6">
        <v>49796</v>
      </c>
      <c r="B427" s="7" t="s">
        <v>0</v>
      </c>
      <c r="C427" s="7" t="s">
        <v>9</v>
      </c>
    </row>
    <row r="428" spans="1:3" x14ac:dyDescent="0.25">
      <c r="A428" s="6">
        <v>49838</v>
      </c>
      <c r="B428" s="7" t="s">
        <v>0</v>
      </c>
      <c r="C428" s="7" t="s">
        <v>10</v>
      </c>
    </row>
    <row r="429" spans="1:3" x14ac:dyDescent="0.25">
      <c r="A429" s="6">
        <v>49925</v>
      </c>
      <c r="B429" s="7" t="s">
        <v>20</v>
      </c>
      <c r="C429" s="7" t="s">
        <v>11</v>
      </c>
    </row>
    <row r="430" spans="1:3" x14ac:dyDescent="0.25">
      <c r="A430" s="6">
        <v>49960</v>
      </c>
      <c r="B430" s="7" t="s">
        <v>20</v>
      </c>
      <c r="C430" s="7" t="s">
        <v>19</v>
      </c>
    </row>
    <row r="431" spans="1:3" x14ac:dyDescent="0.25">
      <c r="A431" s="6">
        <v>49981</v>
      </c>
      <c r="B431" s="7" t="s">
        <v>20</v>
      </c>
      <c r="C431" s="7" t="s">
        <v>12</v>
      </c>
    </row>
    <row r="432" spans="1:3" x14ac:dyDescent="0.25">
      <c r="A432" s="6">
        <v>49994</v>
      </c>
      <c r="B432" s="7" t="s">
        <v>18</v>
      </c>
      <c r="C432" s="7" t="s">
        <v>14</v>
      </c>
    </row>
    <row r="433" spans="1:3" x14ac:dyDescent="0.25">
      <c r="A433" s="6">
        <v>50034</v>
      </c>
      <c r="B433" s="7" t="s">
        <v>0</v>
      </c>
      <c r="C433" s="7" t="s">
        <v>1</v>
      </c>
    </row>
    <row r="434" spans="1:3" x14ac:dyDescent="0.25">
      <c r="A434" s="4">
        <v>50041</v>
      </c>
      <c r="B434" s="5" t="s">
        <v>0</v>
      </c>
      <c r="C434" s="5" t="s">
        <v>2</v>
      </c>
    </row>
    <row r="435" spans="1:3" x14ac:dyDescent="0.25">
      <c r="A435" s="4">
        <v>50087</v>
      </c>
      <c r="B435" s="5" t="s">
        <v>3</v>
      </c>
      <c r="C435" s="5" t="s">
        <v>5</v>
      </c>
    </row>
    <row r="436" spans="1:3" x14ac:dyDescent="0.25">
      <c r="A436" s="4">
        <v>50088</v>
      </c>
      <c r="B436" s="5" t="s">
        <v>4</v>
      </c>
      <c r="C436" s="5" t="s">
        <v>5</v>
      </c>
    </row>
    <row r="437" spans="1:3" x14ac:dyDescent="0.25">
      <c r="A437" s="4">
        <v>50133</v>
      </c>
      <c r="B437" s="5" t="s">
        <v>6</v>
      </c>
      <c r="C437" s="5" t="s">
        <v>7</v>
      </c>
    </row>
    <row r="438" spans="1:3" x14ac:dyDescent="0.25">
      <c r="A438" s="4">
        <v>50151</v>
      </c>
      <c r="B438" s="5" t="s">
        <v>4</v>
      </c>
      <c r="C438" s="5" t="s">
        <v>8</v>
      </c>
    </row>
    <row r="439" spans="1:3" x14ac:dyDescent="0.25">
      <c r="A439" s="4">
        <v>50161</v>
      </c>
      <c r="B439" s="5" t="s">
        <v>6</v>
      </c>
      <c r="C439" s="5" t="s">
        <v>9</v>
      </c>
    </row>
    <row r="440" spans="1:3" x14ac:dyDescent="0.25">
      <c r="A440" s="4">
        <v>50195</v>
      </c>
      <c r="B440" s="5" t="s">
        <v>0</v>
      </c>
      <c r="C440" s="5" t="s">
        <v>10</v>
      </c>
    </row>
    <row r="441" spans="1:3" x14ac:dyDescent="0.25">
      <c r="A441" s="4">
        <v>50290</v>
      </c>
      <c r="B441" s="5" t="s">
        <v>3</v>
      </c>
      <c r="C441" s="5" t="s">
        <v>11</v>
      </c>
    </row>
    <row r="442" spans="1:3" x14ac:dyDescent="0.25">
      <c r="A442" s="4">
        <v>50325</v>
      </c>
      <c r="B442" s="5" t="s">
        <v>3</v>
      </c>
      <c r="C442" s="5" t="s">
        <v>19</v>
      </c>
    </row>
    <row r="443" spans="1:3" x14ac:dyDescent="0.25">
      <c r="A443" s="4">
        <v>50346</v>
      </c>
      <c r="B443" s="5" t="s">
        <v>3</v>
      </c>
      <c r="C443" s="5" t="s">
        <v>12</v>
      </c>
    </row>
    <row r="444" spans="1:3" x14ac:dyDescent="0.25">
      <c r="A444" s="4">
        <v>50359</v>
      </c>
      <c r="B444" s="5" t="s">
        <v>20</v>
      </c>
      <c r="C444" s="5" t="s">
        <v>14</v>
      </c>
    </row>
    <row r="445" spans="1:3" x14ac:dyDescent="0.25">
      <c r="A445" s="4">
        <v>50399</v>
      </c>
      <c r="B445" s="5" t="s">
        <v>6</v>
      </c>
      <c r="C445" s="5" t="s">
        <v>1</v>
      </c>
    </row>
    <row r="446" spans="1:3" x14ac:dyDescent="0.25">
      <c r="A446" s="6">
        <v>50406</v>
      </c>
      <c r="B446" s="7" t="s">
        <v>6</v>
      </c>
      <c r="C446" s="7" t="s">
        <v>2</v>
      </c>
    </row>
    <row r="447" spans="1:3" x14ac:dyDescent="0.25">
      <c r="A447" s="6">
        <v>50472</v>
      </c>
      <c r="B447" s="7" t="s">
        <v>3</v>
      </c>
      <c r="C447" s="7" t="s">
        <v>5</v>
      </c>
    </row>
    <row r="448" spans="1:3" x14ac:dyDescent="0.25">
      <c r="A448" s="6">
        <v>50473</v>
      </c>
      <c r="B448" s="7" t="s">
        <v>4</v>
      </c>
      <c r="C448" s="7" t="s">
        <v>5</v>
      </c>
    </row>
    <row r="449" spans="1:3" x14ac:dyDescent="0.25">
      <c r="A449" s="6">
        <v>50516</v>
      </c>
      <c r="B449" s="7" t="s">
        <v>13</v>
      </c>
      <c r="C449" s="7" t="s">
        <v>8</v>
      </c>
    </row>
    <row r="450" spans="1:3" x14ac:dyDescent="0.25">
      <c r="A450" s="6">
        <v>50518</v>
      </c>
      <c r="B450" s="7" t="s">
        <v>6</v>
      </c>
      <c r="C450" s="7" t="s">
        <v>7</v>
      </c>
    </row>
    <row r="451" spans="1:3" x14ac:dyDescent="0.25">
      <c r="A451" s="6">
        <v>50526</v>
      </c>
      <c r="B451" s="7" t="s">
        <v>18</v>
      </c>
      <c r="C451" s="7" t="s">
        <v>9</v>
      </c>
    </row>
    <row r="452" spans="1:3" x14ac:dyDescent="0.25">
      <c r="A452" s="6">
        <v>50580</v>
      </c>
      <c r="B452" s="7" t="s">
        <v>0</v>
      </c>
      <c r="C452" s="7" t="s">
        <v>10</v>
      </c>
    </row>
    <row r="453" spans="1:3" x14ac:dyDescent="0.25">
      <c r="A453" s="6">
        <v>50655</v>
      </c>
      <c r="B453" s="7" t="s">
        <v>4</v>
      </c>
      <c r="C453" s="7" t="s">
        <v>11</v>
      </c>
    </row>
    <row r="454" spans="1:3" x14ac:dyDescent="0.25">
      <c r="A454" s="6">
        <v>50690</v>
      </c>
      <c r="B454" s="7" t="s">
        <v>4</v>
      </c>
      <c r="C454" s="7" t="s">
        <v>19</v>
      </c>
    </row>
    <row r="455" spans="1:3" x14ac:dyDescent="0.25">
      <c r="A455" s="6">
        <v>50711</v>
      </c>
      <c r="B455" s="7" t="s">
        <v>4</v>
      </c>
      <c r="C455" s="7" t="s">
        <v>12</v>
      </c>
    </row>
    <row r="456" spans="1:3" x14ac:dyDescent="0.25">
      <c r="A456" s="6">
        <v>50724</v>
      </c>
      <c r="B456" s="7" t="s">
        <v>3</v>
      </c>
      <c r="C456" s="7" t="s">
        <v>14</v>
      </c>
    </row>
    <row r="457" spans="1:3" x14ac:dyDescent="0.25">
      <c r="A457" s="6">
        <v>50764</v>
      </c>
      <c r="B457" s="7" t="s">
        <v>18</v>
      </c>
      <c r="C457" s="7" t="s">
        <v>1</v>
      </c>
    </row>
    <row r="458" spans="1:3" x14ac:dyDescent="0.25">
      <c r="A458" s="4">
        <v>50771</v>
      </c>
      <c r="B458" s="5" t="s">
        <v>18</v>
      </c>
      <c r="C458" s="5" t="s">
        <v>2</v>
      </c>
    </row>
    <row r="459" spans="1:3" x14ac:dyDescent="0.25">
      <c r="A459" s="4">
        <v>50822</v>
      </c>
      <c r="B459" s="5" t="s">
        <v>3</v>
      </c>
      <c r="C459" s="5" t="s">
        <v>5</v>
      </c>
    </row>
    <row r="460" spans="1:3" x14ac:dyDescent="0.25">
      <c r="A460" s="4">
        <v>50823</v>
      </c>
      <c r="B460" s="5" t="s">
        <v>4</v>
      </c>
      <c r="C460" s="5" t="s">
        <v>5</v>
      </c>
    </row>
    <row r="461" spans="1:3" x14ac:dyDescent="0.25">
      <c r="A461" s="4">
        <v>50868</v>
      </c>
      <c r="B461" s="5" t="s">
        <v>6</v>
      </c>
      <c r="C461" s="5" t="s">
        <v>7</v>
      </c>
    </row>
    <row r="462" spans="1:3" x14ac:dyDescent="0.25">
      <c r="A462" s="4">
        <v>50881</v>
      </c>
      <c r="B462" s="5" t="s">
        <v>0</v>
      </c>
      <c r="C462" s="5" t="s">
        <v>8</v>
      </c>
    </row>
    <row r="463" spans="1:3" x14ac:dyDescent="0.25">
      <c r="A463" s="4">
        <v>50891</v>
      </c>
      <c r="B463" s="5" t="s">
        <v>20</v>
      </c>
      <c r="C463" s="5" t="s">
        <v>9</v>
      </c>
    </row>
    <row r="464" spans="1:3" x14ac:dyDescent="0.25">
      <c r="A464" s="4">
        <v>50930</v>
      </c>
      <c r="B464" s="5" t="s">
        <v>0</v>
      </c>
      <c r="C464" s="5" t="s">
        <v>10</v>
      </c>
    </row>
    <row r="465" spans="1:3" x14ac:dyDescent="0.25">
      <c r="A465" s="4">
        <v>51020</v>
      </c>
      <c r="B465" s="5" t="s">
        <v>13</v>
      </c>
      <c r="C465" s="5" t="s">
        <v>11</v>
      </c>
    </row>
    <row r="466" spans="1:3" x14ac:dyDescent="0.25">
      <c r="A466" s="4">
        <v>51055</v>
      </c>
      <c r="B466" s="5" t="s">
        <v>13</v>
      </c>
      <c r="C466" s="5" t="s">
        <v>19</v>
      </c>
    </row>
    <row r="467" spans="1:3" x14ac:dyDescent="0.25">
      <c r="A467" s="4">
        <v>51076</v>
      </c>
      <c r="B467" s="5" t="s">
        <v>13</v>
      </c>
      <c r="C467" s="5" t="s">
        <v>12</v>
      </c>
    </row>
    <row r="468" spans="1:3" x14ac:dyDescent="0.25">
      <c r="A468" s="4">
        <v>51089</v>
      </c>
      <c r="B468" s="5" t="s">
        <v>4</v>
      </c>
      <c r="C468" s="5" t="s">
        <v>14</v>
      </c>
    </row>
    <row r="469" spans="1:3" x14ac:dyDescent="0.25">
      <c r="A469" s="4">
        <v>51129</v>
      </c>
      <c r="B469" s="5" t="s">
        <v>20</v>
      </c>
      <c r="C469" s="5" t="s">
        <v>1</v>
      </c>
    </row>
    <row r="470" spans="1:3" x14ac:dyDescent="0.25">
      <c r="A470" s="6">
        <v>51136</v>
      </c>
      <c r="B470" s="7" t="s">
        <v>20</v>
      </c>
      <c r="C470" s="7" t="s">
        <v>2</v>
      </c>
    </row>
    <row r="471" spans="1:3" x14ac:dyDescent="0.25">
      <c r="A471" s="6">
        <v>51179</v>
      </c>
      <c r="B471" s="7" t="s">
        <v>3</v>
      </c>
      <c r="C471" s="7" t="s">
        <v>5</v>
      </c>
    </row>
    <row r="472" spans="1:3" x14ac:dyDescent="0.25">
      <c r="A472" s="6">
        <v>51180</v>
      </c>
      <c r="B472" s="7" t="s">
        <v>4</v>
      </c>
      <c r="C472" s="7" t="s">
        <v>5</v>
      </c>
    </row>
    <row r="473" spans="1:3" x14ac:dyDescent="0.25">
      <c r="A473" s="6">
        <v>51225</v>
      </c>
      <c r="B473" s="7" t="s">
        <v>6</v>
      </c>
      <c r="C473" s="7" t="s">
        <v>7</v>
      </c>
    </row>
    <row r="474" spans="1:3" x14ac:dyDescent="0.25">
      <c r="A474" s="6">
        <v>51247</v>
      </c>
      <c r="B474" s="7" t="s">
        <v>18</v>
      </c>
      <c r="C474" s="7" t="s">
        <v>8</v>
      </c>
    </row>
    <row r="475" spans="1:3" x14ac:dyDescent="0.25">
      <c r="A475" s="6">
        <v>51257</v>
      </c>
      <c r="B475" s="7" t="s">
        <v>4</v>
      </c>
      <c r="C475" s="7" t="s">
        <v>9</v>
      </c>
    </row>
    <row r="476" spans="1:3" x14ac:dyDescent="0.25">
      <c r="A476" s="6">
        <v>51287</v>
      </c>
      <c r="B476" s="7" t="s">
        <v>0</v>
      </c>
      <c r="C476" s="7" t="s">
        <v>10</v>
      </c>
    </row>
    <row r="477" spans="1:3" x14ac:dyDescent="0.25">
      <c r="A477" s="6">
        <v>51386</v>
      </c>
      <c r="B477" s="7" t="s">
        <v>6</v>
      </c>
      <c r="C477" s="7" t="s">
        <v>11</v>
      </c>
    </row>
    <row r="478" spans="1:3" x14ac:dyDescent="0.25">
      <c r="A478" s="6">
        <v>51421</v>
      </c>
      <c r="B478" s="7" t="s">
        <v>6</v>
      </c>
      <c r="C478" s="7" t="s">
        <v>19</v>
      </c>
    </row>
    <row r="479" spans="1:3" x14ac:dyDescent="0.25">
      <c r="A479" s="6">
        <v>51442</v>
      </c>
      <c r="B479" s="7" t="s">
        <v>6</v>
      </c>
      <c r="C479" s="7" t="s">
        <v>12</v>
      </c>
    </row>
    <row r="480" spans="1:3" x14ac:dyDescent="0.25">
      <c r="A480" s="6">
        <v>51455</v>
      </c>
      <c r="B480" s="7" t="s">
        <v>0</v>
      </c>
      <c r="C480" s="7" t="s">
        <v>14</v>
      </c>
    </row>
    <row r="481" spans="1:3" x14ac:dyDescent="0.25">
      <c r="A481" s="6">
        <v>51495</v>
      </c>
      <c r="B481" s="7" t="s">
        <v>4</v>
      </c>
      <c r="C481" s="7" t="s">
        <v>1</v>
      </c>
    </row>
    <row r="482" spans="1:3" x14ac:dyDescent="0.25">
      <c r="A482" s="4">
        <v>51502</v>
      </c>
      <c r="B482" s="5" t="s">
        <v>4</v>
      </c>
      <c r="C482" s="5" t="s">
        <v>2</v>
      </c>
    </row>
    <row r="483" spans="1:3" x14ac:dyDescent="0.25">
      <c r="A483" s="4">
        <v>51564</v>
      </c>
      <c r="B483" s="5" t="s">
        <v>3</v>
      </c>
      <c r="C483" s="5" t="s">
        <v>5</v>
      </c>
    </row>
    <row r="484" spans="1:3" x14ac:dyDescent="0.25">
      <c r="A484" s="4">
        <v>51565</v>
      </c>
      <c r="B484" s="5" t="s">
        <v>4</v>
      </c>
      <c r="C484" s="5" t="s">
        <v>5</v>
      </c>
    </row>
    <row r="485" spans="1:3" x14ac:dyDescent="0.25">
      <c r="A485" s="4">
        <v>51610</v>
      </c>
      <c r="B485" s="5" t="s">
        <v>6</v>
      </c>
      <c r="C485" s="5" t="s">
        <v>7</v>
      </c>
    </row>
    <row r="486" spans="1:3" x14ac:dyDescent="0.25">
      <c r="A486" s="4">
        <v>51612</v>
      </c>
      <c r="B486" s="5" t="s">
        <v>20</v>
      </c>
      <c r="C486" s="5" t="s">
        <v>8</v>
      </c>
    </row>
    <row r="487" spans="1:3" x14ac:dyDescent="0.25">
      <c r="A487" s="4">
        <v>51622</v>
      </c>
      <c r="B487" s="5" t="s">
        <v>13</v>
      </c>
      <c r="C487" s="5" t="s">
        <v>9</v>
      </c>
    </row>
    <row r="488" spans="1:3" x14ac:dyDescent="0.25">
      <c r="A488" s="4">
        <v>51672</v>
      </c>
      <c r="B488" s="5" t="s">
        <v>0</v>
      </c>
      <c r="C488" s="5" t="s">
        <v>10</v>
      </c>
    </row>
    <row r="489" spans="1:3" x14ac:dyDescent="0.25">
      <c r="A489" s="4">
        <v>51751</v>
      </c>
      <c r="B489" s="5" t="s">
        <v>18</v>
      </c>
      <c r="C489" s="5" t="s">
        <v>11</v>
      </c>
    </row>
    <row r="490" spans="1:3" x14ac:dyDescent="0.25">
      <c r="A490" s="4">
        <v>51786</v>
      </c>
      <c r="B490" s="5" t="s">
        <v>18</v>
      </c>
      <c r="C490" s="5" t="s">
        <v>19</v>
      </c>
    </row>
    <row r="491" spans="1:3" x14ac:dyDescent="0.25">
      <c r="A491" s="4">
        <v>51807</v>
      </c>
      <c r="B491" s="5" t="s">
        <v>18</v>
      </c>
      <c r="C491" s="5" t="s">
        <v>12</v>
      </c>
    </row>
    <row r="492" spans="1:3" x14ac:dyDescent="0.25">
      <c r="A492" s="4">
        <v>51820</v>
      </c>
      <c r="B492" s="5" t="s">
        <v>6</v>
      </c>
      <c r="C492" s="5" t="s">
        <v>14</v>
      </c>
    </row>
    <row r="493" spans="1:3" x14ac:dyDescent="0.25">
      <c r="A493" s="4">
        <v>51860</v>
      </c>
      <c r="B493" s="5" t="s">
        <v>13</v>
      </c>
      <c r="C493" s="5" t="s">
        <v>1</v>
      </c>
    </row>
    <row r="494" spans="1:3" x14ac:dyDescent="0.25">
      <c r="A494" s="6">
        <v>51867</v>
      </c>
      <c r="B494" s="7" t="s">
        <v>13</v>
      </c>
      <c r="C494" s="7" t="s">
        <v>2</v>
      </c>
    </row>
    <row r="495" spans="1:3" x14ac:dyDescent="0.25">
      <c r="A495" s="6">
        <v>51914</v>
      </c>
      <c r="B495" s="7" t="s">
        <v>3</v>
      </c>
      <c r="C495" s="7" t="s">
        <v>5</v>
      </c>
    </row>
    <row r="496" spans="1:3" x14ac:dyDescent="0.25">
      <c r="A496" s="6">
        <v>51915</v>
      </c>
      <c r="B496" s="7" t="s">
        <v>4</v>
      </c>
      <c r="C496" s="7" t="s">
        <v>5</v>
      </c>
    </row>
    <row r="497" spans="1:3" x14ac:dyDescent="0.25">
      <c r="A497" s="6">
        <v>51960</v>
      </c>
      <c r="B497" s="7" t="s">
        <v>6</v>
      </c>
      <c r="C497" s="7" t="s">
        <v>7</v>
      </c>
    </row>
    <row r="498" spans="1:3" x14ac:dyDescent="0.25">
      <c r="A498" s="6">
        <v>51977</v>
      </c>
      <c r="B498" s="7" t="s">
        <v>3</v>
      </c>
      <c r="C498" s="7" t="s">
        <v>8</v>
      </c>
    </row>
    <row r="499" spans="1:3" x14ac:dyDescent="0.25">
      <c r="A499" s="6">
        <v>51987</v>
      </c>
      <c r="B499" s="7" t="s">
        <v>0</v>
      </c>
      <c r="C499" s="7" t="s">
        <v>9</v>
      </c>
    </row>
    <row r="500" spans="1:3" x14ac:dyDescent="0.25">
      <c r="A500" s="6">
        <v>52022</v>
      </c>
      <c r="B500" s="7" t="s">
        <v>0</v>
      </c>
      <c r="C500" s="7" t="s">
        <v>10</v>
      </c>
    </row>
    <row r="501" spans="1:3" x14ac:dyDescent="0.25">
      <c r="A501" s="6">
        <v>52116</v>
      </c>
      <c r="B501" s="7" t="s">
        <v>20</v>
      </c>
      <c r="C501" s="7" t="s">
        <v>11</v>
      </c>
    </row>
    <row r="502" spans="1:3" x14ac:dyDescent="0.25">
      <c r="A502" s="6">
        <v>52151</v>
      </c>
      <c r="B502" s="7" t="s">
        <v>20</v>
      </c>
      <c r="C502" s="7" t="s">
        <v>19</v>
      </c>
    </row>
    <row r="503" spans="1:3" x14ac:dyDescent="0.25">
      <c r="A503" s="6">
        <v>52172</v>
      </c>
      <c r="B503" s="7" t="s">
        <v>20</v>
      </c>
      <c r="C503" s="7" t="s">
        <v>12</v>
      </c>
    </row>
    <row r="504" spans="1:3" x14ac:dyDescent="0.25">
      <c r="A504" s="6">
        <v>52185</v>
      </c>
      <c r="B504" s="7" t="s">
        <v>18</v>
      </c>
      <c r="C504" s="7" t="s">
        <v>14</v>
      </c>
    </row>
    <row r="505" spans="1:3" x14ac:dyDescent="0.25">
      <c r="A505" s="6">
        <v>52225</v>
      </c>
      <c r="B505" s="7" t="s">
        <v>0</v>
      </c>
      <c r="C505" s="7" t="s">
        <v>1</v>
      </c>
    </row>
    <row r="506" spans="1:3" x14ac:dyDescent="0.25">
      <c r="A506" s="4">
        <v>52232</v>
      </c>
      <c r="B506" s="5" t="s">
        <v>0</v>
      </c>
      <c r="C506" s="5" t="s">
        <v>2</v>
      </c>
    </row>
    <row r="507" spans="1:3" x14ac:dyDescent="0.25">
      <c r="A507" s="4">
        <v>52271</v>
      </c>
      <c r="B507" s="5" t="s">
        <v>3</v>
      </c>
      <c r="C507" s="5" t="s">
        <v>5</v>
      </c>
    </row>
    <row r="508" spans="1:3" x14ac:dyDescent="0.25">
      <c r="A508" s="4">
        <v>52272</v>
      </c>
      <c r="B508" s="5" t="s">
        <v>4</v>
      </c>
      <c r="C508" s="5" t="s">
        <v>5</v>
      </c>
    </row>
    <row r="509" spans="1:3" x14ac:dyDescent="0.25">
      <c r="A509" s="4">
        <v>52317</v>
      </c>
      <c r="B509" s="5" t="s">
        <v>6</v>
      </c>
      <c r="C509" s="5" t="s">
        <v>7</v>
      </c>
    </row>
    <row r="510" spans="1:3" x14ac:dyDescent="0.25">
      <c r="A510" s="4">
        <v>52342</v>
      </c>
      <c r="B510" s="5" t="s">
        <v>4</v>
      </c>
      <c r="C510" s="5" t="s">
        <v>8</v>
      </c>
    </row>
    <row r="511" spans="1:3" x14ac:dyDescent="0.25">
      <c r="A511" s="4">
        <v>52352</v>
      </c>
      <c r="B511" s="5" t="s">
        <v>6</v>
      </c>
      <c r="C511" s="5" t="s">
        <v>9</v>
      </c>
    </row>
    <row r="512" spans="1:3" x14ac:dyDescent="0.25">
      <c r="A512" s="4">
        <v>52379</v>
      </c>
      <c r="B512" s="5" t="s">
        <v>0</v>
      </c>
      <c r="C512" s="5" t="s">
        <v>10</v>
      </c>
    </row>
    <row r="513" spans="1:3" x14ac:dyDescent="0.25">
      <c r="A513" s="4">
        <v>52481</v>
      </c>
      <c r="B513" s="5" t="s">
        <v>3</v>
      </c>
      <c r="C513" s="5" t="s">
        <v>11</v>
      </c>
    </row>
    <row r="514" spans="1:3" x14ac:dyDescent="0.25">
      <c r="A514" s="4">
        <v>52516</v>
      </c>
      <c r="B514" s="5" t="s">
        <v>3</v>
      </c>
      <c r="C514" s="5" t="s">
        <v>19</v>
      </c>
    </row>
    <row r="515" spans="1:3" x14ac:dyDescent="0.25">
      <c r="A515" s="4">
        <v>52537</v>
      </c>
      <c r="B515" s="5" t="s">
        <v>3</v>
      </c>
      <c r="C515" s="5" t="s">
        <v>12</v>
      </c>
    </row>
    <row r="516" spans="1:3" x14ac:dyDescent="0.25">
      <c r="A516" s="4">
        <v>52550</v>
      </c>
      <c r="B516" s="5" t="s">
        <v>20</v>
      </c>
      <c r="C516" s="5" t="s">
        <v>14</v>
      </c>
    </row>
    <row r="517" spans="1:3" x14ac:dyDescent="0.25">
      <c r="A517" s="4">
        <v>52590</v>
      </c>
      <c r="B517" s="5" t="s">
        <v>6</v>
      </c>
      <c r="C517" s="5" t="s">
        <v>1</v>
      </c>
    </row>
    <row r="518" spans="1:3" x14ac:dyDescent="0.25">
      <c r="A518" s="6">
        <v>52597</v>
      </c>
      <c r="B518" s="7" t="s">
        <v>6</v>
      </c>
      <c r="C518" s="7" t="s">
        <v>2</v>
      </c>
    </row>
    <row r="519" spans="1:3" x14ac:dyDescent="0.25">
      <c r="A519" s="6">
        <v>52656</v>
      </c>
      <c r="B519" s="7" t="s">
        <v>3</v>
      </c>
      <c r="C519" s="7" t="s">
        <v>5</v>
      </c>
    </row>
    <row r="520" spans="1:3" x14ac:dyDescent="0.25">
      <c r="A520" s="6">
        <v>52657</v>
      </c>
      <c r="B520" s="7" t="s">
        <v>4</v>
      </c>
      <c r="C520" s="7" t="s">
        <v>5</v>
      </c>
    </row>
    <row r="521" spans="1:3" x14ac:dyDescent="0.25">
      <c r="A521" s="6">
        <v>52702</v>
      </c>
      <c r="B521" s="7" t="s">
        <v>6</v>
      </c>
      <c r="C521" s="7" t="s">
        <v>7</v>
      </c>
    </row>
    <row r="522" spans="1:3" x14ac:dyDescent="0.25">
      <c r="A522" s="6">
        <v>52708</v>
      </c>
      <c r="B522" s="7" t="s">
        <v>0</v>
      </c>
      <c r="C522" s="7" t="s">
        <v>8</v>
      </c>
    </row>
    <row r="523" spans="1:3" x14ac:dyDescent="0.25">
      <c r="A523" s="6">
        <v>52718</v>
      </c>
      <c r="B523" s="7" t="s">
        <v>20</v>
      </c>
      <c r="C523" s="7" t="s">
        <v>9</v>
      </c>
    </row>
    <row r="524" spans="1:3" x14ac:dyDescent="0.25">
      <c r="A524" s="6">
        <v>52764</v>
      </c>
      <c r="B524" s="7" t="s">
        <v>0</v>
      </c>
      <c r="C524" s="7" t="s">
        <v>10</v>
      </c>
    </row>
    <row r="525" spans="1:3" x14ac:dyDescent="0.25">
      <c r="A525" s="6">
        <v>52847</v>
      </c>
      <c r="B525" s="7" t="s">
        <v>13</v>
      </c>
      <c r="C525" s="7" t="s">
        <v>11</v>
      </c>
    </row>
    <row r="526" spans="1:3" x14ac:dyDescent="0.25">
      <c r="A526" s="6">
        <v>52882</v>
      </c>
      <c r="B526" s="7" t="s">
        <v>13</v>
      </c>
      <c r="C526" s="7" t="s">
        <v>19</v>
      </c>
    </row>
    <row r="527" spans="1:3" x14ac:dyDescent="0.25">
      <c r="A527" s="6">
        <v>52903</v>
      </c>
      <c r="B527" s="7" t="s">
        <v>13</v>
      </c>
      <c r="C527" s="7" t="s">
        <v>12</v>
      </c>
    </row>
    <row r="528" spans="1:3" x14ac:dyDescent="0.25">
      <c r="A528" s="6">
        <v>52916</v>
      </c>
      <c r="B528" s="7" t="s">
        <v>4</v>
      </c>
      <c r="C528" s="7" t="s">
        <v>14</v>
      </c>
    </row>
    <row r="529" spans="1:3" x14ac:dyDescent="0.25">
      <c r="A529" s="6">
        <v>52956</v>
      </c>
      <c r="B529" s="7" t="s">
        <v>20</v>
      </c>
      <c r="C529" s="7" t="s">
        <v>1</v>
      </c>
    </row>
    <row r="530" spans="1:3" x14ac:dyDescent="0.25">
      <c r="A530" s="4">
        <v>52963</v>
      </c>
      <c r="B530" s="5" t="s">
        <v>20</v>
      </c>
      <c r="C530" s="5" t="s">
        <v>2</v>
      </c>
    </row>
    <row r="531" spans="1:3" x14ac:dyDescent="0.25">
      <c r="A531" s="4">
        <v>53013</v>
      </c>
      <c r="B531" s="5" t="s">
        <v>3</v>
      </c>
      <c r="C531" s="5" t="s">
        <v>5</v>
      </c>
    </row>
    <row r="532" spans="1:3" x14ac:dyDescent="0.25">
      <c r="A532" s="4">
        <v>53014</v>
      </c>
      <c r="B532" s="5" t="s">
        <v>4</v>
      </c>
      <c r="C532" s="5" t="s">
        <v>5</v>
      </c>
    </row>
    <row r="533" spans="1:3" x14ac:dyDescent="0.25">
      <c r="A533" s="4">
        <v>53059</v>
      </c>
      <c r="B533" s="5" t="s">
        <v>6</v>
      </c>
      <c r="C533" s="5" t="s">
        <v>7</v>
      </c>
    </row>
    <row r="534" spans="1:3" x14ac:dyDescent="0.25">
      <c r="A534" s="4">
        <v>53073</v>
      </c>
      <c r="B534" s="5" t="s">
        <v>6</v>
      </c>
      <c r="C534" s="5" t="s">
        <v>8</v>
      </c>
    </row>
    <row r="535" spans="1:3" x14ac:dyDescent="0.25">
      <c r="A535" s="4">
        <v>53083</v>
      </c>
      <c r="B535" s="5" t="s">
        <v>3</v>
      </c>
      <c r="C535" s="5" t="s">
        <v>9</v>
      </c>
    </row>
    <row r="536" spans="1:3" x14ac:dyDescent="0.25">
      <c r="A536" s="4">
        <v>53121</v>
      </c>
      <c r="B536" s="5" t="s">
        <v>0</v>
      </c>
      <c r="C536" s="5" t="s">
        <v>10</v>
      </c>
    </row>
    <row r="537" spans="1:3" x14ac:dyDescent="0.25">
      <c r="A537" s="4">
        <v>53212</v>
      </c>
      <c r="B537" s="5" t="s">
        <v>0</v>
      </c>
      <c r="C537" s="5" t="s">
        <v>11</v>
      </c>
    </row>
    <row r="538" spans="1:3" x14ac:dyDescent="0.25">
      <c r="A538" s="4">
        <v>53247</v>
      </c>
      <c r="B538" s="5" t="s">
        <v>0</v>
      </c>
      <c r="C538" s="5" t="s">
        <v>19</v>
      </c>
    </row>
    <row r="539" spans="1:3" x14ac:dyDescent="0.25">
      <c r="A539" s="4">
        <v>53268</v>
      </c>
      <c r="B539" s="5" t="s">
        <v>0</v>
      </c>
      <c r="C539" s="5" t="s">
        <v>12</v>
      </c>
    </row>
    <row r="540" spans="1:3" x14ac:dyDescent="0.25">
      <c r="A540" s="4">
        <v>53281</v>
      </c>
      <c r="B540" s="5" t="s">
        <v>13</v>
      </c>
      <c r="C540" s="5" t="s">
        <v>14</v>
      </c>
    </row>
    <row r="541" spans="1:3" x14ac:dyDescent="0.25">
      <c r="A541" s="4">
        <v>53321</v>
      </c>
      <c r="B541" s="5" t="s">
        <v>3</v>
      </c>
      <c r="C541" s="5" t="s">
        <v>1</v>
      </c>
    </row>
    <row r="542" spans="1:3" x14ac:dyDescent="0.25">
      <c r="A542" s="6">
        <v>53328</v>
      </c>
      <c r="B542" s="7" t="s">
        <v>3</v>
      </c>
      <c r="C542" s="7" t="s">
        <v>2</v>
      </c>
    </row>
    <row r="543" spans="1:3" x14ac:dyDescent="0.25">
      <c r="A543" s="6">
        <v>53363</v>
      </c>
      <c r="B543" s="7" t="s">
        <v>3</v>
      </c>
      <c r="C543" s="7" t="s">
        <v>5</v>
      </c>
    </row>
    <row r="544" spans="1:3" x14ac:dyDescent="0.25">
      <c r="A544" s="6">
        <v>53364</v>
      </c>
      <c r="B544" s="7" t="s">
        <v>4</v>
      </c>
      <c r="C544" s="7" t="s">
        <v>5</v>
      </c>
    </row>
    <row r="545" spans="1:3" x14ac:dyDescent="0.25">
      <c r="A545" s="6">
        <v>53409</v>
      </c>
      <c r="B545" s="7" t="s">
        <v>6</v>
      </c>
      <c r="C545" s="7" t="s">
        <v>7</v>
      </c>
    </row>
    <row r="546" spans="1:3" x14ac:dyDescent="0.25">
      <c r="A546" s="6">
        <v>53438</v>
      </c>
      <c r="B546" s="7" t="s">
        <v>18</v>
      </c>
      <c r="C546" s="7" t="s">
        <v>8</v>
      </c>
    </row>
    <row r="547" spans="1:3" x14ac:dyDescent="0.25">
      <c r="A547" s="6">
        <v>53448</v>
      </c>
      <c r="B547" s="7" t="s">
        <v>4</v>
      </c>
      <c r="C547" s="7" t="s">
        <v>9</v>
      </c>
    </row>
    <row r="548" spans="1:3" x14ac:dyDescent="0.25">
      <c r="A548" s="6">
        <v>53471</v>
      </c>
      <c r="B548" s="7" t="s">
        <v>0</v>
      </c>
      <c r="C548" s="7" t="s">
        <v>10</v>
      </c>
    </row>
    <row r="549" spans="1:3" x14ac:dyDescent="0.25">
      <c r="A549" s="6">
        <v>53577</v>
      </c>
      <c r="B549" s="7" t="s">
        <v>6</v>
      </c>
      <c r="C549" s="7" t="s">
        <v>11</v>
      </c>
    </row>
    <row r="550" spans="1:3" x14ac:dyDescent="0.25">
      <c r="A550" s="6">
        <v>53612</v>
      </c>
      <c r="B550" s="7" t="s">
        <v>6</v>
      </c>
      <c r="C550" s="7" t="s">
        <v>19</v>
      </c>
    </row>
    <row r="551" spans="1:3" x14ac:dyDescent="0.25">
      <c r="A551" s="6">
        <v>53633</v>
      </c>
      <c r="B551" s="7" t="s">
        <v>6</v>
      </c>
      <c r="C551" s="7" t="s">
        <v>12</v>
      </c>
    </row>
    <row r="552" spans="1:3" x14ac:dyDescent="0.25">
      <c r="A552" s="6">
        <v>53646</v>
      </c>
      <c r="B552" s="7" t="s">
        <v>0</v>
      </c>
      <c r="C552" s="7" t="s">
        <v>14</v>
      </c>
    </row>
    <row r="553" spans="1:3" x14ac:dyDescent="0.25">
      <c r="A553" s="6">
        <v>53686</v>
      </c>
      <c r="B553" s="7" t="s">
        <v>4</v>
      </c>
      <c r="C553" s="7" t="s">
        <v>1</v>
      </c>
    </row>
    <row r="554" spans="1:3" x14ac:dyDescent="0.25">
      <c r="A554" s="4">
        <v>53693</v>
      </c>
      <c r="B554" s="5" t="s">
        <v>4</v>
      </c>
      <c r="C554" s="5" t="s">
        <v>2</v>
      </c>
    </row>
    <row r="555" spans="1:3" x14ac:dyDescent="0.25">
      <c r="A555" s="4">
        <v>53748</v>
      </c>
      <c r="B555" s="5" t="s">
        <v>3</v>
      </c>
      <c r="C555" s="5" t="s">
        <v>5</v>
      </c>
    </row>
    <row r="556" spans="1:3" x14ac:dyDescent="0.25">
      <c r="A556" s="4">
        <v>53749</v>
      </c>
      <c r="B556" s="5" t="s">
        <v>4</v>
      </c>
      <c r="C556" s="5" t="s">
        <v>5</v>
      </c>
    </row>
    <row r="557" spans="1:3" x14ac:dyDescent="0.25">
      <c r="A557" s="4">
        <v>53794</v>
      </c>
      <c r="B557" s="5" t="s">
        <v>6</v>
      </c>
      <c r="C557" s="5" t="s">
        <v>7</v>
      </c>
    </row>
    <row r="558" spans="1:3" x14ac:dyDescent="0.25">
      <c r="A558" s="4">
        <v>53803</v>
      </c>
      <c r="B558" s="5" t="s">
        <v>4</v>
      </c>
      <c r="C558" s="5" t="s">
        <v>8</v>
      </c>
    </row>
    <row r="559" spans="1:3" x14ac:dyDescent="0.25">
      <c r="A559" s="4">
        <v>53813</v>
      </c>
      <c r="B559" s="5" t="s">
        <v>13</v>
      </c>
      <c r="C559" s="5" t="s">
        <v>9</v>
      </c>
    </row>
    <row r="560" spans="1:3" x14ac:dyDescent="0.25">
      <c r="A560" s="4">
        <v>53856</v>
      </c>
      <c r="B560" s="5" t="s">
        <v>0</v>
      </c>
      <c r="C560" s="5" t="s">
        <v>10</v>
      </c>
    </row>
    <row r="561" spans="1:3" x14ac:dyDescent="0.25">
      <c r="A561" s="4">
        <v>53942</v>
      </c>
      <c r="B561" s="5" t="s">
        <v>18</v>
      </c>
      <c r="C561" s="5" t="s">
        <v>11</v>
      </c>
    </row>
    <row r="562" spans="1:3" x14ac:dyDescent="0.25">
      <c r="A562" s="4">
        <v>53977</v>
      </c>
      <c r="B562" s="5" t="s">
        <v>18</v>
      </c>
      <c r="C562" s="5" t="s">
        <v>19</v>
      </c>
    </row>
    <row r="563" spans="1:3" x14ac:dyDescent="0.25">
      <c r="A563" s="4">
        <v>53998</v>
      </c>
      <c r="B563" s="5" t="s">
        <v>18</v>
      </c>
      <c r="C563" s="5" t="s">
        <v>12</v>
      </c>
    </row>
    <row r="564" spans="1:3" x14ac:dyDescent="0.25">
      <c r="A564" s="4">
        <v>54011</v>
      </c>
      <c r="B564" s="5" t="s">
        <v>6</v>
      </c>
      <c r="C564" s="5" t="s">
        <v>14</v>
      </c>
    </row>
    <row r="565" spans="1:3" x14ac:dyDescent="0.25">
      <c r="A565" s="4">
        <v>54051</v>
      </c>
      <c r="B565" s="5" t="s">
        <v>13</v>
      </c>
      <c r="C565" s="5" t="s">
        <v>1</v>
      </c>
    </row>
    <row r="566" spans="1:3" x14ac:dyDescent="0.25">
      <c r="A566" s="6">
        <v>54058</v>
      </c>
      <c r="B566" s="7" t="s">
        <v>13</v>
      </c>
      <c r="C566" s="7" t="s">
        <v>2</v>
      </c>
    </row>
    <row r="567" spans="1:3" x14ac:dyDescent="0.25">
      <c r="A567" s="6">
        <v>54105</v>
      </c>
      <c r="B567" s="7" t="s">
        <v>3</v>
      </c>
      <c r="C567" s="7" t="s">
        <v>5</v>
      </c>
    </row>
    <row r="568" spans="1:3" x14ac:dyDescent="0.25">
      <c r="A568" s="6">
        <v>54106</v>
      </c>
      <c r="B568" s="7" t="s">
        <v>4</v>
      </c>
      <c r="C568" s="7" t="s">
        <v>5</v>
      </c>
    </row>
    <row r="569" spans="1:3" x14ac:dyDescent="0.25">
      <c r="A569" s="6">
        <v>54151</v>
      </c>
      <c r="B569" s="7" t="s">
        <v>6</v>
      </c>
      <c r="C569" s="7" t="s">
        <v>7</v>
      </c>
    </row>
    <row r="570" spans="1:3" x14ac:dyDescent="0.25">
      <c r="A570" s="6">
        <v>54169</v>
      </c>
      <c r="B570" s="7" t="s">
        <v>4</v>
      </c>
      <c r="C570" s="7" t="s">
        <v>8</v>
      </c>
    </row>
    <row r="571" spans="1:3" x14ac:dyDescent="0.25">
      <c r="A571" s="6">
        <v>54179</v>
      </c>
      <c r="B571" s="7" t="s">
        <v>6</v>
      </c>
      <c r="C571" s="7" t="s">
        <v>9</v>
      </c>
    </row>
    <row r="572" spans="1:3" x14ac:dyDescent="0.25">
      <c r="A572" s="6">
        <v>54213</v>
      </c>
      <c r="B572" s="7" t="s">
        <v>0</v>
      </c>
      <c r="C572" s="7" t="s">
        <v>10</v>
      </c>
    </row>
    <row r="573" spans="1:3" x14ac:dyDescent="0.25">
      <c r="A573" s="6">
        <v>54308</v>
      </c>
      <c r="B573" s="7" t="s">
        <v>3</v>
      </c>
      <c r="C573" s="7" t="s">
        <v>11</v>
      </c>
    </row>
    <row r="574" spans="1:3" x14ac:dyDescent="0.25">
      <c r="A574" s="6">
        <v>54343</v>
      </c>
      <c r="B574" s="7" t="s">
        <v>3</v>
      </c>
      <c r="C574" s="7" t="s">
        <v>19</v>
      </c>
    </row>
    <row r="575" spans="1:3" x14ac:dyDescent="0.25">
      <c r="A575" s="6">
        <v>54364</v>
      </c>
      <c r="B575" s="7" t="s">
        <v>3</v>
      </c>
      <c r="C575" s="7" t="s">
        <v>12</v>
      </c>
    </row>
    <row r="576" spans="1:3" x14ac:dyDescent="0.25">
      <c r="A576" s="6">
        <v>54377</v>
      </c>
      <c r="B576" s="7" t="s">
        <v>20</v>
      </c>
      <c r="C576" s="7" t="s">
        <v>14</v>
      </c>
    </row>
    <row r="577" spans="1:3" x14ac:dyDescent="0.25">
      <c r="A577" s="6">
        <v>54417</v>
      </c>
      <c r="B577" s="7" t="s">
        <v>6</v>
      </c>
      <c r="C577" s="7" t="s">
        <v>1</v>
      </c>
    </row>
    <row r="578" spans="1:3" x14ac:dyDescent="0.25">
      <c r="A578" s="4">
        <v>54424</v>
      </c>
      <c r="B578" s="5" t="s">
        <v>6</v>
      </c>
      <c r="C578" s="5" t="s">
        <v>2</v>
      </c>
    </row>
    <row r="579" spans="1:3" x14ac:dyDescent="0.25">
      <c r="A579" s="4">
        <v>54483</v>
      </c>
      <c r="B579" s="5" t="s">
        <v>3</v>
      </c>
      <c r="C579" s="5" t="s">
        <v>5</v>
      </c>
    </row>
    <row r="580" spans="1:3" x14ac:dyDescent="0.25">
      <c r="A580" s="4">
        <v>54484</v>
      </c>
      <c r="B580" s="5" t="s">
        <v>4</v>
      </c>
      <c r="C580" s="5" t="s">
        <v>5</v>
      </c>
    </row>
    <row r="581" spans="1:3" x14ac:dyDescent="0.25">
      <c r="A581" s="4">
        <v>54529</v>
      </c>
      <c r="B581" s="5" t="s">
        <v>6</v>
      </c>
      <c r="C581" s="5" t="s">
        <v>7</v>
      </c>
    </row>
    <row r="582" spans="1:3" x14ac:dyDescent="0.25">
      <c r="A582" s="4">
        <v>54534</v>
      </c>
      <c r="B582" s="5" t="s">
        <v>13</v>
      </c>
      <c r="C582" s="5" t="s">
        <v>8</v>
      </c>
    </row>
    <row r="583" spans="1:3" x14ac:dyDescent="0.25">
      <c r="A583" s="4">
        <v>54544</v>
      </c>
      <c r="B583" s="5" t="s">
        <v>18</v>
      </c>
      <c r="C583" s="5" t="s">
        <v>9</v>
      </c>
    </row>
    <row r="584" spans="1:3" x14ac:dyDescent="0.25">
      <c r="A584" s="4">
        <v>54591</v>
      </c>
      <c r="B584" s="5" t="s">
        <v>0</v>
      </c>
      <c r="C584" s="5" t="s">
        <v>10</v>
      </c>
    </row>
    <row r="585" spans="1:3" x14ac:dyDescent="0.25">
      <c r="A585" s="4">
        <v>54673</v>
      </c>
      <c r="B585" s="5" t="s">
        <v>4</v>
      </c>
      <c r="C585" s="5" t="s">
        <v>11</v>
      </c>
    </row>
    <row r="586" spans="1:3" x14ac:dyDescent="0.25">
      <c r="A586" s="4">
        <v>54708</v>
      </c>
      <c r="B586" s="5" t="s">
        <v>4</v>
      </c>
      <c r="C586" s="5" t="s">
        <v>19</v>
      </c>
    </row>
    <row r="587" spans="1:3" x14ac:dyDescent="0.25">
      <c r="A587" s="4">
        <v>54729</v>
      </c>
      <c r="B587" s="5" t="s">
        <v>4</v>
      </c>
      <c r="C587" s="5" t="s">
        <v>12</v>
      </c>
    </row>
    <row r="588" spans="1:3" x14ac:dyDescent="0.25">
      <c r="A588" s="4">
        <v>54742</v>
      </c>
      <c r="B588" s="5" t="s">
        <v>3</v>
      </c>
      <c r="C588" s="5" t="s">
        <v>14</v>
      </c>
    </row>
    <row r="589" spans="1:3" x14ac:dyDescent="0.25">
      <c r="A589" s="4">
        <v>54782</v>
      </c>
      <c r="B589" s="5" t="s">
        <v>18</v>
      </c>
      <c r="C589" s="5" t="s">
        <v>1</v>
      </c>
    </row>
    <row r="590" spans="1:3" x14ac:dyDescent="0.25">
      <c r="A590" s="6">
        <v>54789</v>
      </c>
      <c r="B590" s="7" t="s">
        <v>18</v>
      </c>
      <c r="C590" s="7" t="s">
        <v>2</v>
      </c>
    </row>
    <row r="591" spans="1:3" x14ac:dyDescent="0.25">
      <c r="A591" s="6">
        <v>54840</v>
      </c>
      <c r="B591" s="7" t="s">
        <v>3</v>
      </c>
      <c r="C591" s="7" t="s">
        <v>5</v>
      </c>
    </row>
    <row r="592" spans="1:3" x14ac:dyDescent="0.25">
      <c r="A592" s="6">
        <v>54841</v>
      </c>
      <c r="B592" s="7" t="s">
        <v>4</v>
      </c>
      <c r="C592" s="7" t="s">
        <v>5</v>
      </c>
    </row>
    <row r="593" spans="1:3" x14ac:dyDescent="0.25">
      <c r="A593" s="6">
        <v>54886</v>
      </c>
      <c r="B593" s="7" t="s">
        <v>6</v>
      </c>
      <c r="C593" s="7" t="s">
        <v>7</v>
      </c>
    </row>
    <row r="594" spans="1:3" x14ac:dyDescent="0.25">
      <c r="A594" s="6">
        <v>54899</v>
      </c>
      <c r="B594" s="7" t="s">
        <v>0</v>
      </c>
      <c r="C594" s="7" t="s">
        <v>8</v>
      </c>
    </row>
    <row r="595" spans="1:3" x14ac:dyDescent="0.25">
      <c r="A595" s="6">
        <v>54909</v>
      </c>
      <c r="B595" s="7" t="s">
        <v>20</v>
      </c>
      <c r="C595" s="7" t="s">
        <v>9</v>
      </c>
    </row>
    <row r="596" spans="1:3" x14ac:dyDescent="0.25">
      <c r="A596" s="6">
        <v>54948</v>
      </c>
      <c r="B596" s="7" t="s">
        <v>0</v>
      </c>
      <c r="C596" s="7" t="s">
        <v>10</v>
      </c>
    </row>
    <row r="597" spans="1:3" x14ac:dyDescent="0.25">
      <c r="A597" s="6">
        <v>55038</v>
      </c>
      <c r="B597" s="7" t="s">
        <v>13</v>
      </c>
      <c r="C597" s="7" t="s">
        <v>11</v>
      </c>
    </row>
    <row r="598" spans="1:3" x14ac:dyDescent="0.25">
      <c r="A598" s="6">
        <v>55073</v>
      </c>
      <c r="B598" s="7" t="s">
        <v>13</v>
      </c>
      <c r="C598" s="7" t="s">
        <v>19</v>
      </c>
    </row>
    <row r="599" spans="1:3" x14ac:dyDescent="0.25">
      <c r="A599" s="6">
        <v>55094</v>
      </c>
      <c r="B599" s="7" t="s">
        <v>13</v>
      </c>
      <c r="C599" s="7" t="s">
        <v>12</v>
      </c>
    </row>
    <row r="600" spans="1:3" x14ac:dyDescent="0.25">
      <c r="A600" s="6">
        <v>55107</v>
      </c>
      <c r="B600" s="7" t="s">
        <v>4</v>
      </c>
      <c r="C600" s="7" t="s">
        <v>14</v>
      </c>
    </row>
    <row r="601" spans="1:3" x14ac:dyDescent="0.25">
      <c r="A601" s="6">
        <v>55147</v>
      </c>
      <c r="B601" s="7" t="s">
        <v>20</v>
      </c>
      <c r="C601" s="7" t="s">
        <v>1</v>
      </c>
    </row>
    <row r="602" spans="1:3" x14ac:dyDescent="0.25">
      <c r="A602" s="4">
        <v>55154</v>
      </c>
      <c r="B602" s="5" t="s">
        <v>20</v>
      </c>
      <c r="C602" s="5" t="s">
        <v>2</v>
      </c>
    </row>
    <row r="603" spans="1:3" x14ac:dyDescent="0.25">
      <c r="A603" s="4">
        <v>55197</v>
      </c>
      <c r="B603" s="5" t="s">
        <v>3</v>
      </c>
      <c r="C603" s="5" t="s">
        <v>5</v>
      </c>
    </row>
    <row r="604" spans="1:3" x14ac:dyDescent="0.25">
      <c r="A604" s="4">
        <v>55198</v>
      </c>
      <c r="B604" s="5" t="s">
        <v>4</v>
      </c>
      <c r="C604" s="5" t="s">
        <v>5</v>
      </c>
    </row>
    <row r="605" spans="1:3" x14ac:dyDescent="0.25">
      <c r="A605" s="4">
        <v>55243</v>
      </c>
      <c r="B605" s="5" t="s">
        <v>6</v>
      </c>
      <c r="C605" s="5" t="s">
        <v>7</v>
      </c>
    </row>
    <row r="606" spans="1:3" x14ac:dyDescent="0.25">
      <c r="A606" s="4">
        <v>55264</v>
      </c>
      <c r="B606" s="5" t="s">
        <v>6</v>
      </c>
      <c r="C606" s="5" t="s">
        <v>8</v>
      </c>
    </row>
    <row r="607" spans="1:3" x14ac:dyDescent="0.25">
      <c r="A607" s="4">
        <v>55274</v>
      </c>
      <c r="B607" s="5" t="s">
        <v>3</v>
      </c>
      <c r="C607" s="5" t="s">
        <v>9</v>
      </c>
    </row>
    <row r="608" spans="1:3" x14ac:dyDescent="0.25">
      <c r="A608" s="4">
        <v>55305</v>
      </c>
      <c r="B608" s="5" t="s">
        <v>0</v>
      </c>
      <c r="C608" s="5" t="s">
        <v>10</v>
      </c>
    </row>
    <row r="609" spans="1:3" x14ac:dyDescent="0.25">
      <c r="A609" s="4">
        <v>55403</v>
      </c>
      <c r="B609" s="5" t="s">
        <v>0</v>
      </c>
      <c r="C609" s="5" t="s">
        <v>11</v>
      </c>
    </row>
    <row r="610" spans="1:3" x14ac:dyDescent="0.25">
      <c r="A610" s="4">
        <v>55438</v>
      </c>
      <c r="B610" s="5" t="s">
        <v>0</v>
      </c>
      <c r="C610" s="5" t="s">
        <v>19</v>
      </c>
    </row>
    <row r="611" spans="1:3" x14ac:dyDescent="0.25">
      <c r="A611" s="4">
        <v>55459</v>
      </c>
      <c r="B611" s="5" t="s">
        <v>0</v>
      </c>
      <c r="C611" s="5" t="s">
        <v>12</v>
      </c>
    </row>
    <row r="612" spans="1:3" x14ac:dyDescent="0.25">
      <c r="A612" s="4">
        <v>55472</v>
      </c>
      <c r="B612" s="5" t="s">
        <v>13</v>
      </c>
      <c r="C612" s="5" t="s">
        <v>14</v>
      </c>
    </row>
    <row r="613" spans="1:3" x14ac:dyDescent="0.25">
      <c r="A613" s="4">
        <v>55512</v>
      </c>
      <c r="B613" s="5" t="s">
        <v>3</v>
      </c>
      <c r="C613" s="5" t="s">
        <v>1</v>
      </c>
    </row>
    <row r="614" spans="1:3" x14ac:dyDescent="0.25">
      <c r="A614" s="6">
        <v>55519</v>
      </c>
      <c r="B614" s="7" t="s">
        <v>3</v>
      </c>
      <c r="C614" s="7" t="s">
        <v>2</v>
      </c>
    </row>
    <row r="615" spans="1:3" x14ac:dyDescent="0.25">
      <c r="A615" s="6">
        <v>55582</v>
      </c>
      <c r="B615" s="7" t="s">
        <v>3</v>
      </c>
      <c r="C615" s="7" t="s">
        <v>5</v>
      </c>
    </row>
    <row r="616" spans="1:3" x14ac:dyDescent="0.25">
      <c r="A616" s="6">
        <v>55583</v>
      </c>
      <c r="B616" s="7" t="s">
        <v>4</v>
      </c>
      <c r="C616" s="7" t="s">
        <v>5</v>
      </c>
    </row>
    <row r="617" spans="1:3" x14ac:dyDescent="0.25">
      <c r="A617" s="6">
        <v>55628</v>
      </c>
      <c r="B617" s="7" t="s">
        <v>6</v>
      </c>
      <c r="C617" s="7" t="s">
        <v>7</v>
      </c>
    </row>
    <row r="618" spans="1:3" x14ac:dyDescent="0.25">
      <c r="A618" s="6">
        <v>55630</v>
      </c>
      <c r="B618" s="7" t="s">
        <v>20</v>
      </c>
      <c r="C618" s="7" t="s">
        <v>8</v>
      </c>
    </row>
    <row r="619" spans="1:3" x14ac:dyDescent="0.25">
      <c r="A619" s="6">
        <v>55640</v>
      </c>
      <c r="B619" s="7" t="s">
        <v>13</v>
      </c>
      <c r="C619" s="7" t="s">
        <v>9</v>
      </c>
    </row>
    <row r="620" spans="1:3" x14ac:dyDescent="0.25">
      <c r="A620" s="6">
        <v>55690</v>
      </c>
      <c r="B620" s="7" t="s">
        <v>0</v>
      </c>
      <c r="C620" s="7" t="s">
        <v>10</v>
      </c>
    </row>
    <row r="621" spans="1:3" x14ac:dyDescent="0.25">
      <c r="A621" s="6">
        <v>55769</v>
      </c>
      <c r="B621" s="7" t="s">
        <v>18</v>
      </c>
      <c r="C621" s="7" t="s">
        <v>11</v>
      </c>
    </row>
    <row r="622" spans="1:3" x14ac:dyDescent="0.25">
      <c r="A622" s="6">
        <v>55804</v>
      </c>
      <c r="B622" s="7" t="s">
        <v>18</v>
      </c>
      <c r="C622" s="7" t="s">
        <v>19</v>
      </c>
    </row>
    <row r="623" spans="1:3" x14ac:dyDescent="0.25">
      <c r="A623" s="6">
        <v>55825</v>
      </c>
      <c r="B623" s="7" t="s">
        <v>18</v>
      </c>
      <c r="C623" s="7" t="s">
        <v>12</v>
      </c>
    </row>
    <row r="624" spans="1:3" x14ac:dyDescent="0.25">
      <c r="A624" s="6">
        <v>55838</v>
      </c>
      <c r="B624" s="7" t="s">
        <v>6</v>
      </c>
      <c r="C624" s="7" t="s">
        <v>14</v>
      </c>
    </row>
    <row r="625" spans="1:3" x14ac:dyDescent="0.25">
      <c r="A625" s="6">
        <v>55878</v>
      </c>
      <c r="B625" s="7" t="s">
        <v>13</v>
      </c>
      <c r="C625" s="7" t="s">
        <v>1</v>
      </c>
    </row>
    <row r="626" spans="1:3" x14ac:dyDescent="0.25">
      <c r="A626" s="4">
        <v>55885</v>
      </c>
      <c r="B626" s="5" t="s">
        <v>13</v>
      </c>
      <c r="C626" s="5" t="s">
        <v>2</v>
      </c>
    </row>
    <row r="627" spans="1:3" x14ac:dyDescent="0.25">
      <c r="A627" s="4">
        <v>55932</v>
      </c>
      <c r="B627" s="5" t="s">
        <v>3</v>
      </c>
      <c r="C627" s="5" t="s">
        <v>5</v>
      </c>
    </row>
    <row r="628" spans="1:3" x14ac:dyDescent="0.25">
      <c r="A628" s="4">
        <v>55933</v>
      </c>
      <c r="B628" s="5" t="s">
        <v>4</v>
      </c>
      <c r="C628" s="5" t="s">
        <v>5</v>
      </c>
    </row>
    <row r="629" spans="1:3" x14ac:dyDescent="0.25">
      <c r="A629" s="4">
        <v>55978</v>
      </c>
      <c r="B629" s="5" t="s">
        <v>6</v>
      </c>
      <c r="C629" s="5" t="s">
        <v>7</v>
      </c>
    </row>
    <row r="630" spans="1:3" x14ac:dyDescent="0.25">
      <c r="A630" s="4">
        <v>55995</v>
      </c>
      <c r="B630" s="5" t="s">
        <v>3</v>
      </c>
      <c r="C630" s="5" t="s">
        <v>8</v>
      </c>
    </row>
    <row r="631" spans="1:3" x14ac:dyDescent="0.25">
      <c r="A631" s="4">
        <v>56005</v>
      </c>
      <c r="B631" s="5" t="s">
        <v>0</v>
      </c>
      <c r="C631" s="5" t="s">
        <v>9</v>
      </c>
    </row>
    <row r="632" spans="1:3" x14ac:dyDescent="0.25">
      <c r="A632" s="4">
        <v>56040</v>
      </c>
      <c r="B632" s="5" t="s">
        <v>0</v>
      </c>
      <c r="C632" s="5" t="s">
        <v>10</v>
      </c>
    </row>
    <row r="633" spans="1:3" x14ac:dyDescent="0.25">
      <c r="A633" s="4">
        <v>56134</v>
      </c>
      <c r="B633" s="5" t="s">
        <v>20</v>
      </c>
      <c r="C633" s="5" t="s">
        <v>11</v>
      </c>
    </row>
    <row r="634" spans="1:3" x14ac:dyDescent="0.25">
      <c r="A634" s="4">
        <v>56169</v>
      </c>
      <c r="B634" s="5" t="s">
        <v>20</v>
      </c>
      <c r="C634" s="5" t="s">
        <v>19</v>
      </c>
    </row>
    <row r="635" spans="1:3" x14ac:dyDescent="0.25">
      <c r="A635" s="4">
        <v>56190</v>
      </c>
      <c r="B635" s="5" t="s">
        <v>20</v>
      </c>
      <c r="C635" s="5" t="s">
        <v>12</v>
      </c>
    </row>
    <row r="636" spans="1:3" x14ac:dyDescent="0.25">
      <c r="A636" s="4">
        <v>56203</v>
      </c>
      <c r="B636" s="5" t="s">
        <v>18</v>
      </c>
      <c r="C636" s="5" t="s">
        <v>14</v>
      </c>
    </row>
    <row r="637" spans="1:3" x14ac:dyDescent="0.25">
      <c r="A637" s="4">
        <v>56243</v>
      </c>
      <c r="B637" s="5" t="s">
        <v>0</v>
      </c>
      <c r="C637" s="5" t="s">
        <v>1</v>
      </c>
    </row>
    <row r="638" spans="1:3" x14ac:dyDescent="0.25">
      <c r="A638" s="6">
        <v>56250</v>
      </c>
      <c r="B638" s="7" t="s">
        <v>0</v>
      </c>
      <c r="C638" s="7" t="s">
        <v>2</v>
      </c>
    </row>
    <row r="639" spans="1:3" x14ac:dyDescent="0.25">
      <c r="A639" s="6">
        <v>56289</v>
      </c>
      <c r="B639" s="7" t="s">
        <v>3</v>
      </c>
      <c r="C639" s="7" t="s">
        <v>5</v>
      </c>
    </row>
    <row r="640" spans="1:3" x14ac:dyDescent="0.25">
      <c r="A640" s="6">
        <v>56290</v>
      </c>
      <c r="B640" s="7" t="s">
        <v>4</v>
      </c>
      <c r="C640" s="7" t="s">
        <v>5</v>
      </c>
    </row>
    <row r="641" spans="1:3" x14ac:dyDescent="0.25">
      <c r="A641" s="6">
        <v>56335</v>
      </c>
      <c r="B641" s="7" t="s">
        <v>6</v>
      </c>
      <c r="C641" s="7" t="s">
        <v>7</v>
      </c>
    </row>
    <row r="642" spans="1:3" x14ac:dyDescent="0.25">
      <c r="A642" s="6">
        <v>56360</v>
      </c>
      <c r="B642" s="7" t="s">
        <v>4</v>
      </c>
      <c r="C642" s="7" t="s">
        <v>8</v>
      </c>
    </row>
    <row r="643" spans="1:3" x14ac:dyDescent="0.25">
      <c r="A643" s="6">
        <v>56370</v>
      </c>
      <c r="B643" s="7" t="s">
        <v>6</v>
      </c>
      <c r="C643" s="7" t="s">
        <v>9</v>
      </c>
    </row>
    <row r="644" spans="1:3" x14ac:dyDescent="0.25">
      <c r="A644" s="6">
        <v>56397</v>
      </c>
      <c r="B644" s="7" t="s">
        <v>0</v>
      </c>
      <c r="C644" s="7" t="s">
        <v>10</v>
      </c>
    </row>
    <row r="645" spans="1:3" x14ac:dyDescent="0.25">
      <c r="A645" s="6">
        <v>56499</v>
      </c>
      <c r="B645" s="7" t="s">
        <v>3</v>
      </c>
      <c r="C645" s="7" t="s">
        <v>11</v>
      </c>
    </row>
    <row r="646" spans="1:3" x14ac:dyDescent="0.25">
      <c r="A646" s="6">
        <v>56534</v>
      </c>
      <c r="B646" s="7" t="s">
        <v>3</v>
      </c>
      <c r="C646" s="7" t="s">
        <v>19</v>
      </c>
    </row>
    <row r="647" spans="1:3" x14ac:dyDescent="0.25">
      <c r="A647" s="6">
        <v>56555</v>
      </c>
      <c r="B647" s="7" t="s">
        <v>3</v>
      </c>
      <c r="C647" s="7" t="s">
        <v>12</v>
      </c>
    </row>
    <row r="648" spans="1:3" x14ac:dyDescent="0.25">
      <c r="A648" s="6">
        <v>56568</v>
      </c>
      <c r="B648" s="7" t="s">
        <v>20</v>
      </c>
      <c r="C648" s="7" t="s">
        <v>14</v>
      </c>
    </row>
    <row r="649" spans="1:3" x14ac:dyDescent="0.25">
      <c r="A649" s="6">
        <v>56608</v>
      </c>
      <c r="B649" s="7" t="s">
        <v>6</v>
      </c>
      <c r="C649" s="7" t="s">
        <v>1</v>
      </c>
    </row>
    <row r="650" spans="1:3" x14ac:dyDescent="0.25">
      <c r="A650" s="4">
        <v>56615</v>
      </c>
      <c r="B650" s="5" t="s">
        <v>6</v>
      </c>
      <c r="C650" s="5" t="s">
        <v>2</v>
      </c>
    </row>
    <row r="651" spans="1:3" x14ac:dyDescent="0.25">
      <c r="A651" s="4">
        <v>56674</v>
      </c>
      <c r="B651" s="5" t="s">
        <v>3</v>
      </c>
      <c r="C651" s="5" t="s">
        <v>5</v>
      </c>
    </row>
    <row r="652" spans="1:3" x14ac:dyDescent="0.25">
      <c r="A652" s="4">
        <v>56675</v>
      </c>
      <c r="B652" s="5" t="s">
        <v>4</v>
      </c>
      <c r="C652" s="5" t="s">
        <v>5</v>
      </c>
    </row>
    <row r="653" spans="1:3" x14ac:dyDescent="0.25">
      <c r="A653" s="4">
        <v>56720</v>
      </c>
      <c r="B653" s="5" t="s">
        <v>6</v>
      </c>
      <c r="C653" s="5" t="s">
        <v>7</v>
      </c>
    </row>
    <row r="654" spans="1:3" x14ac:dyDescent="0.25">
      <c r="A654" s="4">
        <v>56725</v>
      </c>
      <c r="B654" s="5" t="s">
        <v>13</v>
      </c>
      <c r="C654" s="5" t="s">
        <v>8</v>
      </c>
    </row>
    <row r="655" spans="1:3" x14ac:dyDescent="0.25">
      <c r="A655" s="4">
        <v>56735</v>
      </c>
      <c r="B655" s="5" t="s">
        <v>18</v>
      </c>
      <c r="C655" s="5" t="s">
        <v>9</v>
      </c>
    </row>
    <row r="656" spans="1:3" x14ac:dyDescent="0.25">
      <c r="A656" s="4">
        <v>56782</v>
      </c>
      <c r="B656" s="5" t="s">
        <v>0</v>
      </c>
      <c r="C656" s="5" t="s">
        <v>10</v>
      </c>
    </row>
    <row r="657" spans="1:3" x14ac:dyDescent="0.25">
      <c r="A657" s="4">
        <v>56864</v>
      </c>
      <c r="B657" s="5" t="s">
        <v>4</v>
      </c>
      <c r="C657" s="5" t="s">
        <v>11</v>
      </c>
    </row>
    <row r="658" spans="1:3" x14ac:dyDescent="0.25">
      <c r="A658" s="4">
        <v>56899</v>
      </c>
      <c r="B658" s="5" t="s">
        <v>4</v>
      </c>
      <c r="C658" s="5" t="s">
        <v>19</v>
      </c>
    </row>
    <row r="659" spans="1:3" x14ac:dyDescent="0.25">
      <c r="A659" s="4">
        <v>56920</v>
      </c>
      <c r="B659" s="5" t="s">
        <v>4</v>
      </c>
      <c r="C659" s="5" t="s">
        <v>12</v>
      </c>
    </row>
    <row r="660" spans="1:3" x14ac:dyDescent="0.25">
      <c r="A660" s="4">
        <v>56933</v>
      </c>
      <c r="B660" s="5" t="s">
        <v>3</v>
      </c>
      <c r="C660" s="5" t="s">
        <v>14</v>
      </c>
    </row>
    <row r="661" spans="1:3" x14ac:dyDescent="0.25">
      <c r="A661" s="4">
        <v>56973</v>
      </c>
      <c r="B661" s="5" t="s">
        <v>18</v>
      </c>
      <c r="C661" s="5" t="s">
        <v>1</v>
      </c>
    </row>
    <row r="662" spans="1:3" x14ac:dyDescent="0.25">
      <c r="A662" s="6">
        <v>56980</v>
      </c>
      <c r="B662" s="7" t="s">
        <v>18</v>
      </c>
      <c r="C662" s="7" t="s">
        <v>2</v>
      </c>
    </row>
    <row r="663" spans="1:3" x14ac:dyDescent="0.25">
      <c r="A663" s="6">
        <v>57024</v>
      </c>
      <c r="B663" s="7" t="s">
        <v>3</v>
      </c>
      <c r="C663" s="7" t="s">
        <v>5</v>
      </c>
    </row>
    <row r="664" spans="1:3" x14ac:dyDescent="0.25">
      <c r="A664" s="6">
        <v>57025</v>
      </c>
      <c r="B664" s="7" t="s">
        <v>4</v>
      </c>
      <c r="C664" s="7" t="s">
        <v>5</v>
      </c>
    </row>
    <row r="665" spans="1:3" x14ac:dyDescent="0.25">
      <c r="A665" s="6">
        <v>57070</v>
      </c>
      <c r="B665" s="7" t="s">
        <v>6</v>
      </c>
      <c r="C665" s="7" t="s">
        <v>7</v>
      </c>
    </row>
    <row r="666" spans="1:3" x14ac:dyDescent="0.25">
      <c r="A666" s="6">
        <v>57091</v>
      </c>
      <c r="B666" s="7" t="s">
        <v>6</v>
      </c>
      <c r="C666" s="7" t="s">
        <v>8</v>
      </c>
    </row>
    <row r="667" spans="1:3" x14ac:dyDescent="0.25">
      <c r="A667" s="6">
        <v>57101</v>
      </c>
      <c r="B667" s="7" t="s">
        <v>3</v>
      </c>
      <c r="C667" s="7" t="s">
        <v>9</v>
      </c>
    </row>
    <row r="668" spans="1:3" x14ac:dyDescent="0.25">
      <c r="A668" s="6">
        <v>57132</v>
      </c>
      <c r="B668" s="7" t="s">
        <v>0</v>
      </c>
      <c r="C668" s="7" t="s">
        <v>10</v>
      </c>
    </row>
    <row r="669" spans="1:3" x14ac:dyDescent="0.25">
      <c r="A669" s="6">
        <v>57230</v>
      </c>
      <c r="B669" s="7" t="s">
        <v>0</v>
      </c>
      <c r="C669" s="7" t="s">
        <v>11</v>
      </c>
    </row>
    <row r="670" spans="1:3" x14ac:dyDescent="0.25">
      <c r="A670" s="6">
        <v>57265</v>
      </c>
      <c r="B670" s="7" t="s">
        <v>0</v>
      </c>
      <c r="C670" s="7" t="s">
        <v>19</v>
      </c>
    </row>
    <row r="671" spans="1:3" x14ac:dyDescent="0.25">
      <c r="A671" s="6">
        <v>57286</v>
      </c>
      <c r="B671" s="7" t="s">
        <v>0</v>
      </c>
      <c r="C671" s="7" t="s">
        <v>12</v>
      </c>
    </row>
    <row r="672" spans="1:3" x14ac:dyDescent="0.25">
      <c r="A672" s="6">
        <v>57299</v>
      </c>
      <c r="B672" s="7" t="s">
        <v>13</v>
      </c>
      <c r="C672" s="7" t="s">
        <v>14</v>
      </c>
    </row>
    <row r="673" spans="1:3" x14ac:dyDescent="0.25">
      <c r="A673" s="6">
        <v>57339</v>
      </c>
      <c r="B673" s="7" t="s">
        <v>3</v>
      </c>
      <c r="C673" s="7" t="s">
        <v>1</v>
      </c>
    </row>
    <row r="674" spans="1:3" x14ac:dyDescent="0.25">
      <c r="A674" s="4">
        <v>57346</v>
      </c>
      <c r="B674" s="5" t="s">
        <v>3</v>
      </c>
      <c r="C674" s="5" t="s">
        <v>2</v>
      </c>
    </row>
    <row r="675" spans="1:3" x14ac:dyDescent="0.25">
      <c r="A675" s="4">
        <v>57409</v>
      </c>
      <c r="B675" s="5" t="s">
        <v>3</v>
      </c>
      <c r="C675" s="5" t="s">
        <v>5</v>
      </c>
    </row>
    <row r="676" spans="1:3" x14ac:dyDescent="0.25">
      <c r="A676" s="4">
        <v>57410</v>
      </c>
      <c r="B676" s="5" t="s">
        <v>4</v>
      </c>
      <c r="C676" s="5" t="s">
        <v>5</v>
      </c>
    </row>
    <row r="677" spans="1:3" x14ac:dyDescent="0.25">
      <c r="A677" s="4">
        <v>57455</v>
      </c>
      <c r="B677" s="5" t="s">
        <v>6</v>
      </c>
      <c r="C677" s="5" t="s">
        <v>7</v>
      </c>
    </row>
    <row r="678" spans="1:3" x14ac:dyDescent="0.25">
      <c r="A678" s="4">
        <v>57456</v>
      </c>
      <c r="B678" s="5" t="s">
        <v>18</v>
      </c>
      <c r="C678" s="5" t="s">
        <v>8</v>
      </c>
    </row>
    <row r="679" spans="1:3" x14ac:dyDescent="0.25">
      <c r="A679" s="4">
        <v>57466</v>
      </c>
      <c r="B679" s="5" t="s">
        <v>4</v>
      </c>
      <c r="C679" s="5" t="s">
        <v>9</v>
      </c>
    </row>
    <row r="680" spans="1:3" x14ac:dyDescent="0.25">
      <c r="A680" s="4">
        <v>57517</v>
      </c>
      <c r="B680" s="5" t="s">
        <v>0</v>
      </c>
      <c r="C680" s="5" t="s">
        <v>10</v>
      </c>
    </row>
    <row r="681" spans="1:3" x14ac:dyDescent="0.25">
      <c r="A681" s="4">
        <v>57595</v>
      </c>
      <c r="B681" s="5" t="s">
        <v>6</v>
      </c>
      <c r="C681" s="5" t="s">
        <v>11</v>
      </c>
    </row>
    <row r="682" spans="1:3" x14ac:dyDescent="0.25">
      <c r="A682" s="4">
        <v>57630</v>
      </c>
      <c r="B682" s="5" t="s">
        <v>6</v>
      </c>
      <c r="C682" s="5" t="s">
        <v>19</v>
      </c>
    </row>
    <row r="683" spans="1:3" x14ac:dyDescent="0.25">
      <c r="A683" s="4">
        <v>57651</v>
      </c>
      <c r="B683" s="5" t="s">
        <v>6</v>
      </c>
      <c r="C683" s="5" t="s">
        <v>12</v>
      </c>
    </row>
    <row r="684" spans="1:3" x14ac:dyDescent="0.25">
      <c r="A684" s="4">
        <v>57664</v>
      </c>
      <c r="B684" s="5" t="s">
        <v>0</v>
      </c>
      <c r="C684" s="5" t="s">
        <v>14</v>
      </c>
    </row>
    <row r="685" spans="1:3" x14ac:dyDescent="0.25">
      <c r="A685" s="4">
        <v>57704</v>
      </c>
      <c r="B685" s="5" t="s">
        <v>4</v>
      </c>
      <c r="C685" s="5" t="s">
        <v>1</v>
      </c>
    </row>
    <row r="686" spans="1:3" x14ac:dyDescent="0.25">
      <c r="A686" s="6">
        <v>57711</v>
      </c>
      <c r="B686" s="7" t="s">
        <v>4</v>
      </c>
      <c r="C686" s="7" t="s">
        <v>2</v>
      </c>
    </row>
    <row r="687" spans="1:3" x14ac:dyDescent="0.25">
      <c r="A687" s="6">
        <v>57766</v>
      </c>
      <c r="B687" s="7" t="s">
        <v>3</v>
      </c>
      <c r="C687" s="7" t="s">
        <v>5</v>
      </c>
    </row>
    <row r="688" spans="1:3" x14ac:dyDescent="0.25">
      <c r="A688" s="6">
        <v>57767</v>
      </c>
      <c r="B688" s="7" t="s">
        <v>4</v>
      </c>
      <c r="C688" s="7" t="s">
        <v>5</v>
      </c>
    </row>
    <row r="689" spans="1:3" x14ac:dyDescent="0.25">
      <c r="A689" s="6">
        <v>57812</v>
      </c>
      <c r="B689" s="7" t="s">
        <v>6</v>
      </c>
      <c r="C689" s="7" t="s">
        <v>7</v>
      </c>
    </row>
    <row r="690" spans="1:3" x14ac:dyDescent="0.25">
      <c r="A690" s="6">
        <v>57821</v>
      </c>
      <c r="B690" s="7" t="s">
        <v>20</v>
      </c>
      <c r="C690" s="7" t="s">
        <v>8</v>
      </c>
    </row>
    <row r="691" spans="1:3" x14ac:dyDescent="0.25">
      <c r="A691" s="6">
        <v>57831</v>
      </c>
      <c r="B691" s="7" t="s">
        <v>13</v>
      </c>
      <c r="C691" s="7" t="s">
        <v>9</v>
      </c>
    </row>
    <row r="692" spans="1:3" x14ac:dyDescent="0.25">
      <c r="A692" s="6">
        <v>57874</v>
      </c>
      <c r="B692" s="7" t="s">
        <v>0</v>
      </c>
      <c r="C692" s="7" t="s">
        <v>10</v>
      </c>
    </row>
    <row r="693" spans="1:3" x14ac:dyDescent="0.25">
      <c r="A693" s="6">
        <v>57960</v>
      </c>
      <c r="B693" s="7" t="s">
        <v>18</v>
      </c>
      <c r="C693" s="7" t="s">
        <v>11</v>
      </c>
    </row>
    <row r="694" spans="1:3" x14ac:dyDescent="0.25">
      <c r="A694" s="6">
        <v>57995</v>
      </c>
      <c r="B694" s="7" t="s">
        <v>18</v>
      </c>
      <c r="C694" s="7" t="s">
        <v>19</v>
      </c>
    </row>
    <row r="695" spans="1:3" x14ac:dyDescent="0.25">
      <c r="A695" s="6">
        <v>58016</v>
      </c>
      <c r="B695" s="7" t="s">
        <v>18</v>
      </c>
      <c r="C695" s="7" t="s">
        <v>12</v>
      </c>
    </row>
    <row r="696" spans="1:3" x14ac:dyDescent="0.25">
      <c r="A696" s="6">
        <v>58029</v>
      </c>
      <c r="B696" s="7" t="s">
        <v>6</v>
      </c>
      <c r="C696" s="7" t="s">
        <v>14</v>
      </c>
    </row>
    <row r="697" spans="1:3" x14ac:dyDescent="0.25">
      <c r="A697" s="6">
        <v>58069</v>
      </c>
      <c r="B697" s="7" t="s">
        <v>13</v>
      </c>
      <c r="C697" s="7" t="s">
        <v>1</v>
      </c>
    </row>
    <row r="698" spans="1:3" x14ac:dyDescent="0.25">
      <c r="A698" s="4">
        <v>58076</v>
      </c>
      <c r="B698" s="5" t="s">
        <v>13</v>
      </c>
      <c r="C698" s="5" t="s">
        <v>2</v>
      </c>
    </row>
    <row r="699" spans="1:3" x14ac:dyDescent="0.25">
      <c r="A699" s="4">
        <v>58116</v>
      </c>
      <c r="B699" s="5" t="s">
        <v>3</v>
      </c>
      <c r="C699" s="5" t="s">
        <v>5</v>
      </c>
    </row>
    <row r="700" spans="1:3" x14ac:dyDescent="0.25">
      <c r="A700" s="4">
        <v>58117</v>
      </c>
      <c r="B700" s="5" t="s">
        <v>4</v>
      </c>
      <c r="C700" s="5" t="s">
        <v>5</v>
      </c>
    </row>
    <row r="701" spans="1:3" x14ac:dyDescent="0.25">
      <c r="A701" s="4">
        <v>58162</v>
      </c>
      <c r="B701" s="5" t="s">
        <v>6</v>
      </c>
      <c r="C701" s="5" t="s">
        <v>7</v>
      </c>
    </row>
    <row r="702" spans="1:3" x14ac:dyDescent="0.25">
      <c r="A702" s="4">
        <v>58186</v>
      </c>
      <c r="B702" s="5" t="s">
        <v>3</v>
      </c>
      <c r="C702" s="5" t="s">
        <v>8</v>
      </c>
    </row>
    <row r="703" spans="1:3" x14ac:dyDescent="0.25">
      <c r="A703" s="4">
        <v>58196</v>
      </c>
      <c r="B703" s="5" t="s">
        <v>0</v>
      </c>
      <c r="C703" s="5" t="s">
        <v>9</v>
      </c>
    </row>
    <row r="704" spans="1:3" x14ac:dyDescent="0.25">
      <c r="A704" s="4">
        <v>58224</v>
      </c>
      <c r="B704" s="5" t="s">
        <v>0</v>
      </c>
      <c r="C704" s="5" t="s">
        <v>10</v>
      </c>
    </row>
    <row r="705" spans="1:3" x14ac:dyDescent="0.25">
      <c r="A705" s="4">
        <v>58325</v>
      </c>
      <c r="B705" s="5" t="s">
        <v>20</v>
      </c>
      <c r="C705" s="5" t="s">
        <v>11</v>
      </c>
    </row>
    <row r="706" spans="1:3" x14ac:dyDescent="0.25">
      <c r="A706" s="4">
        <v>58360</v>
      </c>
      <c r="B706" s="5" t="s">
        <v>20</v>
      </c>
      <c r="C706" s="5" t="s">
        <v>19</v>
      </c>
    </row>
    <row r="707" spans="1:3" x14ac:dyDescent="0.25">
      <c r="A707" s="4">
        <v>58381</v>
      </c>
      <c r="B707" s="5" t="s">
        <v>20</v>
      </c>
      <c r="C707" s="5" t="s">
        <v>12</v>
      </c>
    </row>
    <row r="708" spans="1:3" x14ac:dyDescent="0.25">
      <c r="A708" s="4">
        <v>58394</v>
      </c>
      <c r="B708" s="5" t="s">
        <v>18</v>
      </c>
      <c r="C708" s="5" t="s">
        <v>14</v>
      </c>
    </row>
    <row r="709" spans="1:3" x14ac:dyDescent="0.25">
      <c r="A709" s="4">
        <v>58434</v>
      </c>
      <c r="B709" s="5" t="s">
        <v>0</v>
      </c>
      <c r="C709" s="5" t="s">
        <v>1</v>
      </c>
    </row>
    <row r="710" spans="1:3" x14ac:dyDescent="0.25">
      <c r="A710" s="6">
        <v>58441</v>
      </c>
      <c r="B710" s="7" t="s">
        <v>0</v>
      </c>
      <c r="C710" s="7" t="s">
        <v>2</v>
      </c>
    </row>
    <row r="711" spans="1:3" x14ac:dyDescent="0.25">
      <c r="A711" s="6">
        <v>58501</v>
      </c>
      <c r="B711" s="7" t="s">
        <v>3</v>
      </c>
      <c r="C711" s="7" t="s">
        <v>5</v>
      </c>
    </row>
    <row r="712" spans="1:3" x14ac:dyDescent="0.25">
      <c r="A712" s="6">
        <v>58502</v>
      </c>
      <c r="B712" s="7" t="s">
        <v>4</v>
      </c>
      <c r="C712" s="7" t="s">
        <v>5</v>
      </c>
    </row>
    <row r="713" spans="1:3" x14ac:dyDescent="0.25">
      <c r="A713" s="6">
        <v>58547</v>
      </c>
      <c r="B713" s="7" t="s">
        <v>6</v>
      </c>
      <c r="C713" s="7" t="s">
        <v>7</v>
      </c>
    </row>
    <row r="714" spans="1:3" x14ac:dyDescent="0.25">
      <c r="A714" s="6">
        <v>58552</v>
      </c>
      <c r="B714" s="7" t="s">
        <v>13</v>
      </c>
      <c r="C714" s="7" t="s">
        <v>8</v>
      </c>
    </row>
    <row r="715" spans="1:3" x14ac:dyDescent="0.25">
      <c r="A715" s="6">
        <v>58562</v>
      </c>
      <c r="B715" s="7" t="s">
        <v>18</v>
      </c>
      <c r="C715" s="7" t="s">
        <v>9</v>
      </c>
    </row>
    <row r="716" spans="1:3" x14ac:dyDescent="0.25">
      <c r="A716" s="6">
        <v>58609</v>
      </c>
      <c r="B716" s="7" t="s">
        <v>0</v>
      </c>
      <c r="C716" s="7" t="s">
        <v>10</v>
      </c>
    </row>
    <row r="717" spans="1:3" x14ac:dyDescent="0.25">
      <c r="A717" s="6">
        <v>58691</v>
      </c>
      <c r="B717" s="7" t="s">
        <v>4</v>
      </c>
      <c r="C717" s="7" t="s">
        <v>11</v>
      </c>
    </row>
    <row r="718" spans="1:3" x14ac:dyDescent="0.25">
      <c r="A718" s="6">
        <v>58726</v>
      </c>
      <c r="B718" s="7" t="s">
        <v>4</v>
      </c>
      <c r="C718" s="7" t="s">
        <v>19</v>
      </c>
    </row>
    <row r="719" spans="1:3" x14ac:dyDescent="0.25">
      <c r="A719" s="6">
        <v>58747</v>
      </c>
      <c r="B719" s="7" t="s">
        <v>4</v>
      </c>
      <c r="C719" s="7" t="s">
        <v>12</v>
      </c>
    </row>
    <row r="720" spans="1:3" x14ac:dyDescent="0.25">
      <c r="A720" s="6">
        <v>58760</v>
      </c>
      <c r="B720" s="7" t="s">
        <v>3</v>
      </c>
      <c r="C720" s="7" t="s">
        <v>14</v>
      </c>
    </row>
    <row r="721" spans="1:3" x14ac:dyDescent="0.25">
      <c r="A721" s="6">
        <v>58800</v>
      </c>
      <c r="B721" s="7" t="s">
        <v>18</v>
      </c>
      <c r="C721" s="7" t="s">
        <v>1</v>
      </c>
    </row>
    <row r="722" spans="1:3" x14ac:dyDescent="0.25">
      <c r="A722" s="4">
        <v>58807</v>
      </c>
      <c r="B722" s="5" t="s">
        <v>18</v>
      </c>
      <c r="C722" s="5" t="s">
        <v>2</v>
      </c>
    </row>
    <row r="723" spans="1:3" x14ac:dyDescent="0.25">
      <c r="A723" s="4">
        <v>58858</v>
      </c>
      <c r="B723" s="5" t="s">
        <v>3</v>
      </c>
      <c r="C723" s="5" t="s">
        <v>5</v>
      </c>
    </row>
    <row r="724" spans="1:3" x14ac:dyDescent="0.25">
      <c r="A724" s="4">
        <v>58859</v>
      </c>
      <c r="B724" s="5" t="s">
        <v>4</v>
      </c>
      <c r="C724" s="5" t="s">
        <v>5</v>
      </c>
    </row>
    <row r="725" spans="1:3" x14ac:dyDescent="0.25">
      <c r="A725" s="4">
        <v>58904</v>
      </c>
      <c r="B725" s="5" t="s">
        <v>6</v>
      </c>
      <c r="C725" s="5" t="s">
        <v>7</v>
      </c>
    </row>
    <row r="726" spans="1:3" x14ac:dyDescent="0.25">
      <c r="A726" s="4">
        <v>58917</v>
      </c>
      <c r="B726" s="5" t="s">
        <v>0</v>
      </c>
      <c r="C726" s="5" t="s">
        <v>8</v>
      </c>
    </row>
    <row r="727" spans="1:3" x14ac:dyDescent="0.25">
      <c r="A727" s="4">
        <v>58927</v>
      </c>
      <c r="B727" s="5" t="s">
        <v>20</v>
      </c>
      <c r="C727" s="5" t="s">
        <v>9</v>
      </c>
    </row>
    <row r="728" spans="1:3" x14ac:dyDescent="0.25">
      <c r="A728" s="4">
        <v>58966</v>
      </c>
      <c r="B728" s="5" t="s">
        <v>0</v>
      </c>
      <c r="C728" s="5" t="s">
        <v>10</v>
      </c>
    </row>
    <row r="729" spans="1:3" x14ac:dyDescent="0.25">
      <c r="A729" s="4">
        <v>59056</v>
      </c>
      <c r="B729" s="5" t="s">
        <v>13</v>
      </c>
      <c r="C729" s="5" t="s">
        <v>11</v>
      </c>
    </row>
    <row r="730" spans="1:3" x14ac:dyDescent="0.25">
      <c r="A730" s="4">
        <v>59091</v>
      </c>
      <c r="B730" s="5" t="s">
        <v>13</v>
      </c>
      <c r="C730" s="5" t="s">
        <v>19</v>
      </c>
    </row>
    <row r="731" spans="1:3" x14ac:dyDescent="0.25">
      <c r="A731" s="4">
        <v>59112</v>
      </c>
      <c r="B731" s="5" t="s">
        <v>13</v>
      </c>
      <c r="C731" s="5" t="s">
        <v>12</v>
      </c>
    </row>
    <row r="732" spans="1:3" x14ac:dyDescent="0.25">
      <c r="A732" s="4">
        <v>59125</v>
      </c>
      <c r="B732" s="5" t="s">
        <v>4</v>
      </c>
      <c r="C732" s="5" t="s">
        <v>14</v>
      </c>
    </row>
    <row r="733" spans="1:3" x14ac:dyDescent="0.25">
      <c r="A733" s="4">
        <v>59165</v>
      </c>
      <c r="B733" s="5" t="s">
        <v>20</v>
      </c>
      <c r="C733" s="5" t="s">
        <v>1</v>
      </c>
    </row>
    <row r="734" spans="1:3" x14ac:dyDescent="0.25">
      <c r="A734" s="6">
        <v>59172</v>
      </c>
      <c r="B734" s="7" t="s">
        <v>20</v>
      </c>
      <c r="C734" s="7" t="s">
        <v>2</v>
      </c>
    </row>
    <row r="735" spans="1:3" x14ac:dyDescent="0.25">
      <c r="A735" s="6">
        <v>59208</v>
      </c>
      <c r="B735" s="7" t="s">
        <v>3</v>
      </c>
      <c r="C735" s="7" t="s">
        <v>5</v>
      </c>
    </row>
    <row r="736" spans="1:3" x14ac:dyDescent="0.25">
      <c r="A736" s="6">
        <v>59209</v>
      </c>
      <c r="B736" s="7" t="s">
        <v>4</v>
      </c>
      <c r="C736" s="7" t="s">
        <v>5</v>
      </c>
    </row>
    <row r="737" spans="1:3" x14ac:dyDescent="0.25">
      <c r="A737" s="6">
        <v>59254</v>
      </c>
      <c r="B737" s="7" t="s">
        <v>6</v>
      </c>
      <c r="C737" s="7" t="s">
        <v>7</v>
      </c>
    </row>
    <row r="738" spans="1:3" x14ac:dyDescent="0.25">
      <c r="A738" s="6">
        <v>59282</v>
      </c>
      <c r="B738" s="7" t="s">
        <v>6</v>
      </c>
      <c r="C738" s="7" t="s">
        <v>8</v>
      </c>
    </row>
    <row r="739" spans="1:3" x14ac:dyDescent="0.25">
      <c r="A739" s="6">
        <v>59292</v>
      </c>
      <c r="B739" s="7" t="s">
        <v>3</v>
      </c>
      <c r="C739" s="7" t="s">
        <v>9</v>
      </c>
    </row>
    <row r="740" spans="1:3" x14ac:dyDescent="0.25">
      <c r="A740" s="6">
        <v>59316</v>
      </c>
      <c r="B740" s="7" t="s">
        <v>0</v>
      </c>
      <c r="C740" s="7" t="s">
        <v>10</v>
      </c>
    </row>
    <row r="741" spans="1:3" x14ac:dyDescent="0.25">
      <c r="A741" s="6">
        <v>59421</v>
      </c>
      <c r="B741" s="7" t="s">
        <v>0</v>
      </c>
      <c r="C741" s="7" t="s">
        <v>11</v>
      </c>
    </row>
    <row r="742" spans="1:3" x14ac:dyDescent="0.25">
      <c r="A742" s="6">
        <v>59456</v>
      </c>
      <c r="B742" s="7" t="s">
        <v>0</v>
      </c>
      <c r="C742" s="7" t="s">
        <v>19</v>
      </c>
    </row>
    <row r="743" spans="1:3" x14ac:dyDescent="0.25">
      <c r="A743" s="6">
        <v>59477</v>
      </c>
      <c r="B743" s="7" t="s">
        <v>0</v>
      </c>
      <c r="C743" s="7" t="s">
        <v>12</v>
      </c>
    </row>
    <row r="744" spans="1:3" x14ac:dyDescent="0.25">
      <c r="A744" s="6">
        <v>59490</v>
      </c>
      <c r="B744" s="7" t="s">
        <v>13</v>
      </c>
      <c r="C744" s="7" t="s">
        <v>14</v>
      </c>
    </row>
    <row r="745" spans="1:3" x14ac:dyDescent="0.25">
      <c r="A745" s="6">
        <v>59530</v>
      </c>
      <c r="B745" s="7" t="s">
        <v>3</v>
      </c>
      <c r="C745" s="7" t="s">
        <v>1</v>
      </c>
    </row>
    <row r="746" spans="1:3" x14ac:dyDescent="0.25">
      <c r="A746" s="4">
        <v>59537</v>
      </c>
      <c r="B746" s="5" t="s">
        <v>3</v>
      </c>
      <c r="C746" s="5" t="s">
        <v>2</v>
      </c>
    </row>
    <row r="747" spans="1:3" x14ac:dyDescent="0.25">
      <c r="A747" s="4">
        <v>59593</v>
      </c>
      <c r="B747" s="5" t="s">
        <v>3</v>
      </c>
      <c r="C747" s="5" t="s">
        <v>5</v>
      </c>
    </row>
    <row r="748" spans="1:3" x14ac:dyDescent="0.25">
      <c r="A748" s="4">
        <v>59594</v>
      </c>
      <c r="B748" s="5" t="s">
        <v>4</v>
      </c>
      <c r="C748" s="5" t="s">
        <v>5</v>
      </c>
    </row>
    <row r="749" spans="1:3" x14ac:dyDescent="0.25">
      <c r="A749" s="4">
        <v>59639</v>
      </c>
      <c r="B749" s="5" t="s">
        <v>6</v>
      </c>
      <c r="C749" s="5" t="s">
        <v>7</v>
      </c>
    </row>
    <row r="750" spans="1:3" x14ac:dyDescent="0.25">
      <c r="A750" s="4">
        <v>59647</v>
      </c>
      <c r="B750" s="5" t="s">
        <v>18</v>
      </c>
      <c r="C750" s="5" t="s">
        <v>8</v>
      </c>
    </row>
    <row r="751" spans="1:3" x14ac:dyDescent="0.25">
      <c r="A751" s="4">
        <v>59657</v>
      </c>
      <c r="B751" s="5" t="s">
        <v>4</v>
      </c>
      <c r="C751" s="5" t="s">
        <v>9</v>
      </c>
    </row>
    <row r="752" spans="1:3" x14ac:dyDescent="0.25">
      <c r="A752" s="4">
        <v>59701</v>
      </c>
      <c r="B752" s="5" t="s">
        <v>0</v>
      </c>
      <c r="C752" s="5" t="s">
        <v>10</v>
      </c>
    </row>
    <row r="753" spans="1:3" x14ac:dyDescent="0.25">
      <c r="A753" s="4">
        <v>59786</v>
      </c>
      <c r="B753" s="5" t="s">
        <v>6</v>
      </c>
      <c r="C753" s="5" t="s">
        <v>11</v>
      </c>
    </row>
    <row r="754" spans="1:3" x14ac:dyDescent="0.25">
      <c r="A754" s="4">
        <v>59821</v>
      </c>
      <c r="B754" s="5" t="s">
        <v>6</v>
      </c>
      <c r="C754" s="5" t="s">
        <v>19</v>
      </c>
    </row>
    <row r="755" spans="1:3" x14ac:dyDescent="0.25">
      <c r="A755" s="4">
        <v>59842</v>
      </c>
      <c r="B755" s="5" t="s">
        <v>6</v>
      </c>
      <c r="C755" s="5" t="s">
        <v>12</v>
      </c>
    </row>
    <row r="756" spans="1:3" x14ac:dyDescent="0.25">
      <c r="A756" s="4">
        <v>59855</v>
      </c>
      <c r="B756" s="5" t="s">
        <v>0</v>
      </c>
      <c r="C756" s="5" t="s">
        <v>14</v>
      </c>
    </row>
    <row r="757" spans="1:3" x14ac:dyDescent="0.25">
      <c r="A757" s="4">
        <v>59895</v>
      </c>
      <c r="B757" s="5" t="s">
        <v>4</v>
      </c>
      <c r="C757" s="5" t="s">
        <v>1</v>
      </c>
    </row>
    <row r="758" spans="1:3" x14ac:dyDescent="0.25">
      <c r="A758" s="6">
        <v>59902</v>
      </c>
      <c r="B758" s="7" t="s">
        <v>4</v>
      </c>
      <c r="C758" s="7" t="s">
        <v>2</v>
      </c>
    </row>
    <row r="759" spans="1:3" x14ac:dyDescent="0.25">
      <c r="A759" s="6">
        <v>59950</v>
      </c>
      <c r="B759" s="7" t="s">
        <v>3</v>
      </c>
      <c r="C759" s="7" t="s">
        <v>5</v>
      </c>
    </row>
    <row r="760" spans="1:3" x14ac:dyDescent="0.25">
      <c r="A760" s="6">
        <v>59951</v>
      </c>
      <c r="B760" s="7" t="s">
        <v>4</v>
      </c>
      <c r="C760" s="7" t="s">
        <v>5</v>
      </c>
    </row>
    <row r="761" spans="1:3" x14ac:dyDescent="0.25">
      <c r="A761" s="6">
        <v>59996</v>
      </c>
      <c r="B761" s="7" t="s">
        <v>6</v>
      </c>
      <c r="C761" s="7" t="s">
        <v>7</v>
      </c>
    </row>
    <row r="762" spans="1:3" x14ac:dyDescent="0.25">
      <c r="A762" s="6">
        <v>60013</v>
      </c>
      <c r="B762" s="7" t="s">
        <v>3</v>
      </c>
      <c r="C762" s="7" t="s">
        <v>8</v>
      </c>
    </row>
    <row r="763" spans="1:3" x14ac:dyDescent="0.25">
      <c r="A763" s="6">
        <v>60023</v>
      </c>
      <c r="B763" s="7" t="s">
        <v>0</v>
      </c>
      <c r="C763" s="7" t="s">
        <v>9</v>
      </c>
    </row>
    <row r="764" spans="1:3" x14ac:dyDescent="0.25">
      <c r="A764" s="6">
        <v>60058</v>
      </c>
      <c r="B764" s="7" t="s">
        <v>0</v>
      </c>
      <c r="C764" s="7" t="s">
        <v>10</v>
      </c>
    </row>
    <row r="765" spans="1:3" x14ac:dyDescent="0.25">
      <c r="A765" s="6">
        <v>60152</v>
      </c>
      <c r="B765" s="7" t="s">
        <v>20</v>
      </c>
      <c r="C765" s="7" t="s">
        <v>11</v>
      </c>
    </row>
    <row r="766" spans="1:3" x14ac:dyDescent="0.25">
      <c r="A766" s="6">
        <v>60187</v>
      </c>
      <c r="B766" s="7" t="s">
        <v>20</v>
      </c>
      <c r="C766" s="7" t="s">
        <v>19</v>
      </c>
    </row>
    <row r="767" spans="1:3" x14ac:dyDescent="0.25">
      <c r="A767" s="6">
        <v>60208</v>
      </c>
      <c r="B767" s="7" t="s">
        <v>20</v>
      </c>
      <c r="C767" s="7" t="s">
        <v>12</v>
      </c>
    </row>
    <row r="768" spans="1:3" x14ac:dyDescent="0.25">
      <c r="A768" s="6">
        <v>60221</v>
      </c>
      <c r="B768" s="7" t="s">
        <v>18</v>
      </c>
      <c r="C768" s="7" t="s">
        <v>14</v>
      </c>
    </row>
    <row r="769" spans="1:3" x14ac:dyDescent="0.25">
      <c r="A769" s="6">
        <v>60261</v>
      </c>
      <c r="B769" s="7" t="s">
        <v>0</v>
      </c>
      <c r="C769" s="7" t="s">
        <v>1</v>
      </c>
    </row>
    <row r="770" spans="1:3" x14ac:dyDescent="0.25">
      <c r="A770" s="4">
        <v>60268</v>
      </c>
      <c r="B770" s="5" t="s">
        <v>0</v>
      </c>
      <c r="C770" s="5" t="s">
        <v>2</v>
      </c>
    </row>
    <row r="771" spans="1:3" x14ac:dyDescent="0.25">
      <c r="A771" s="4">
        <v>60307</v>
      </c>
      <c r="B771" s="5" t="s">
        <v>3</v>
      </c>
      <c r="C771" s="5" t="s">
        <v>5</v>
      </c>
    </row>
    <row r="772" spans="1:3" x14ac:dyDescent="0.25">
      <c r="A772" s="4">
        <v>60308</v>
      </c>
      <c r="B772" s="5" t="s">
        <v>4</v>
      </c>
      <c r="C772" s="5" t="s">
        <v>5</v>
      </c>
    </row>
    <row r="773" spans="1:3" x14ac:dyDescent="0.25">
      <c r="A773" s="4">
        <v>60353</v>
      </c>
      <c r="B773" s="5" t="s">
        <v>6</v>
      </c>
      <c r="C773" s="5" t="s">
        <v>7</v>
      </c>
    </row>
    <row r="774" spans="1:3" x14ac:dyDescent="0.25">
      <c r="A774" s="4">
        <v>60378</v>
      </c>
      <c r="B774" s="5" t="s">
        <v>4</v>
      </c>
      <c r="C774" s="5" t="s">
        <v>8</v>
      </c>
    </row>
    <row r="775" spans="1:3" x14ac:dyDescent="0.25">
      <c r="A775" s="4">
        <v>60388</v>
      </c>
      <c r="B775" s="5" t="s">
        <v>6</v>
      </c>
      <c r="C775" s="5" t="s">
        <v>9</v>
      </c>
    </row>
    <row r="776" spans="1:3" x14ac:dyDescent="0.25">
      <c r="A776" s="4">
        <v>60415</v>
      </c>
      <c r="B776" s="5" t="s">
        <v>0</v>
      </c>
      <c r="C776" s="5" t="s">
        <v>10</v>
      </c>
    </row>
    <row r="777" spans="1:3" x14ac:dyDescent="0.25">
      <c r="A777" s="4">
        <v>60517</v>
      </c>
      <c r="B777" s="5" t="s">
        <v>3</v>
      </c>
      <c r="C777" s="5" t="s">
        <v>11</v>
      </c>
    </row>
    <row r="778" spans="1:3" x14ac:dyDescent="0.25">
      <c r="A778" s="4">
        <v>60552</v>
      </c>
      <c r="B778" s="5" t="s">
        <v>3</v>
      </c>
      <c r="C778" s="5" t="s">
        <v>19</v>
      </c>
    </row>
    <row r="779" spans="1:3" x14ac:dyDescent="0.25">
      <c r="A779" s="4">
        <v>60573</v>
      </c>
      <c r="B779" s="5" t="s">
        <v>3</v>
      </c>
      <c r="C779" s="5" t="s">
        <v>12</v>
      </c>
    </row>
    <row r="780" spans="1:3" x14ac:dyDescent="0.25">
      <c r="A780" s="4">
        <v>60586</v>
      </c>
      <c r="B780" s="5" t="s">
        <v>20</v>
      </c>
      <c r="C780" s="5" t="s">
        <v>14</v>
      </c>
    </row>
    <row r="781" spans="1:3" x14ac:dyDescent="0.25">
      <c r="A781" s="4">
        <v>60626</v>
      </c>
      <c r="B781" s="5" t="s">
        <v>6</v>
      </c>
      <c r="C781" s="5" t="s">
        <v>1</v>
      </c>
    </row>
    <row r="782" spans="1:3" x14ac:dyDescent="0.25">
      <c r="A782" s="6">
        <v>60633</v>
      </c>
      <c r="B782" s="7" t="s">
        <v>6</v>
      </c>
      <c r="C782" s="7" t="s">
        <v>2</v>
      </c>
    </row>
    <row r="783" spans="1:3" x14ac:dyDescent="0.25">
      <c r="A783" s="6">
        <v>60685</v>
      </c>
      <c r="B783" s="7" t="s">
        <v>3</v>
      </c>
      <c r="C783" s="7" t="s">
        <v>5</v>
      </c>
    </row>
    <row r="784" spans="1:3" x14ac:dyDescent="0.25">
      <c r="A784" s="6">
        <v>60686</v>
      </c>
      <c r="B784" s="7" t="s">
        <v>4</v>
      </c>
      <c r="C784" s="7" t="s">
        <v>5</v>
      </c>
    </row>
    <row r="785" spans="1:3" x14ac:dyDescent="0.25">
      <c r="A785" s="6">
        <v>60731</v>
      </c>
      <c r="B785" s="7" t="s">
        <v>6</v>
      </c>
      <c r="C785" s="7" t="s">
        <v>7</v>
      </c>
    </row>
    <row r="786" spans="1:3" x14ac:dyDescent="0.25">
      <c r="A786" s="6">
        <v>60743</v>
      </c>
      <c r="B786" s="7" t="s">
        <v>13</v>
      </c>
      <c r="C786" s="7" t="s">
        <v>8</v>
      </c>
    </row>
    <row r="787" spans="1:3" x14ac:dyDescent="0.25">
      <c r="A787" s="6">
        <v>60753</v>
      </c>
      <c r="B787" s="7" t="s">
        <v>18</v>
      </c>
      <c r="C787" s="7" t="s">
        <v>9</v>
      </c>
    </row>
    <row r="788" spans="1:3" x14ac:dyDescent="0.25">
      <c r="A788" s="6">
        <v>60793</v>
      </c>
      <c r="B788" s="7" t="s">
        <v>0</v>
      </c>
      <c r="C788" s="7" t="s">
        <v>10</v>
      </c>
    </row>
    <row r="789" spans="1:3" x14ac:dyDescent="0.25">
      <c r="A789" s="6">
        <v>60882</v>
      </c>
      <c r="B789" s="7" t="s">
        <v>4</v>
      </c>
      <c r="C789" s="7" t="s">
        <v>11</v>
      </c>
    </row>
    <row r="790" spans="1:3" x14ac:dyDescent="0.25">
      <c r="A790" s="6">
        <v>60917</v>
      </c>
      <c r="B790" s="7" t="s">
        <v>4</v>
      </c>
      <c r="C790" s="7" t="s">
        <v>19</v>
      </c>
    </row>
    <row r="791" spans="1:3" x14ac:dyDescent="0.25">
      <c r="A791" s="6">
        <v>60938</v>
      </c>
      <c r="B791" s="7" t="s">
        <v>4</v>
      </c>
      <c r="C791" s="7" t="s">
        <v>12</v>
      </c>
    </row>
    <row r="792" spans="1:3" x14ac:dyDescent="0.25">
      <c r="A792" s="6">
        <v>60951</v>
      </c>
      <c r="B792" s="7" t="s">
        <v>3</v>
      </c>
      <c r="C792" s="7" t="s">
        <v>14</v>
      </c>
    </row>
    <row r="793" spans="1:3" x14ac:dyDescent="0.25">
      <c r="A793" s="6">
        <v>60991</v>
      </c>
      <c r="B793" s="7" t="s">
        <v>18</v>
      </c>
      <c r="C793" s="7" t="s">
        <v>1</v>
      </c>
    </row>
    <row r="794" spans="1:3" x14ac:dyDescent="0.25">
      <c r="A794" s="4">
        <v>60998</v>
      </c>
      <c r="B794" s="5" t="s">
        <v>18</v>
      </c>
      <c r="C794" s="5" t="s">
        <v>2</v>
      </c>
    </row>
    <row r="795" spans="1:3" x14ac:dyDescent="0.25">
      <c r="A795" s="4">
        <v>61042</v>
      </c>
      <c r="B795" s="5" t="s">
        <v>3</v>
      </c>
      <c r="C795" s="5" t="s">
        <v>5</v>
      </c>
    </row>
    <row r="796" spans="1:3" x14ac:dyDescent="0.25">
      <c r="A796" s="4">
        <v>61043</v>
      </c>
      <c r="B796" s="5" t="s">
        <v>4</v>
      </c>
      <c r="C796" s="5" t="s">
        <v>5</v>
      </c>
    </row>
    <row r="797" spans="1:3" x14ac:dyDescent="0.25">
      <c r="A797" s="4">
        <v>61088</v>
      </c>
      <c r="B797" s="5" t="s">
        <v>6</v>
      </c>
      <c r="C797" s="5" t="s">
        <v>7</v>
      </c>
    </row>
    <row r="798" spans="1:3" x14ac:dyDescent="0.25">
      <c r="A798" s="4">
        <v>61108</v>
      </c>
      <c r="B798" s="5" t="s">
        <v>0</v>
      </c>
      <c r="C798" s="5" t="s">
        <v>8</v>
      </c>
    </row>
    <row r="799" spans="1:3" x14ac:dyDescent="0.25">
      <c r="A799" s="4">
        <v>61118</v>
      </c>
      <c r="B799" s="5" t="s">
        <v>20</v>
      </c>
      <c r="C799" s="5" t="s">
        <v>9</v>
      </c>
    </row>
    <row r="800" spans="1:3" x14ac:dyDescent="0.25">
      <c r="A800" s="4">
        <v>61150</v>
      </c>
      <c r="B800" s="5" t="s">
        <v>0</v>
      </c>
      <c r="C800" s="5" t="s">
        <v>10</v>
      </c>
    </row>
    <row r="801" spans="1:3" x14ac:dyDescent="0.25">
      <c r="A801" s="4">
        <v>61247</v>
      </c>
      <c r="B801" s="5" t="s">
        <v>13</v>
      </c>
      <c r="C801" s="5" t="s">
        <v>11</v>
      </c>
    </row>
    <row r="802" spans="1:3" x14ac:dyDescent="0.25">
      <c r="A802" s="4">
        <v>61282</v>
      </c>
      <c r="B802" s="5" t="s">
        <v>13</v>
      </c>
      <c r="C802" s="5" t="s">
        <v>19</v>
      </c>
    </row>
    <row r="803" spans="1:3" x14ac:dyDescent="0.25">
      <c r="A803" s="4">
        <v>61303</v>
      </c>
      <c r="B803" s="5" t="s">
        <v>13</v>
      </c>
      <c r="C803" s="5" t="s">
        <v>12</v>
      </c>
    </row>
    <row r="804" spans="1:3" x14ac:dyDescent="0.25">
      <c r="A804" s="4">
        <v>61316</v>
      </c>
      <c r="B804" s="5" t="s">
        <v>4</v>
      </c>
      <c r="C804" s="5" t="s">
        <v>14</v>
      </c>
    </row>
    <row r="805" spans="1:3" x14ac:dyDescent="0.25">
      <c r="A805" s="4">
        <v>61356</v>
      </c>
      <c r="B805" s="5" t="s">
        <v>20</v>
      </c>
      <c r="C805" s="5" t="s">
        <v>1</v>
      </c>
    </row>
    <row r="806" spans="1:3" x14ac:dyDescent="0.25">
      <c r="A806" s="6">
        <v>61363</v>
      </c>
      <c r="B806" s="7" t="s">
        <v>20</v>
      </c>
      <c r="C806" s="7" t="s">
        <v>2</v>
      </c>
    </row>
    <row r="807" spans="1:3" x14ac:dyDescent="0.25">
      <c r="A807" s="6">
        <v>61427</v>
      </c>
      <c r="B807" s="7" t="s">
        <v>3</v>
      </c>
      <c r="C807" s="7" t="s">
        <v>5</v>
      </c>
    </row>
    <row r="808" spans="1:3" x14ac:dyDescent="0.25">
      <c r="A808" s="6">
        <v>61428</v>
      </c>
      <c r="B808" s="7" t="s">
        <v>4</v>
      </c>
      <c r="C808" s="7" t="s">
        <v>5</v>
      </c>
    </row>
    <row r="809" spans="1:3" x14ac:dyDescent="0.25">
      <c r="A809" s="6">
        <v>61473</v>
      </c>
      <c r="B809" s="7" t="s">
        <v>6</v>
      </c>
      <c r="C809" s="7" t="s">
        <v>7</v>
      </c>
    </row>
    <row r="810" spans="1:3" x14ac:dyDescent="0.25">
      <c r="A810" s="6">
        <v>61474</v>
      </c>
      <c r="B810" s="7" t="s">
        <v>18</v>
      </c>
      <c r="C810" s="7" t="s">
        <v>8</v>
      </c>
    </row>
    <row r="811" spans="1:3" x14ac:dyDescent="0.25">
      <c r="A811" s="6">
        <v>61484</v>
      </c>
      <c r="B811" s="7" t="s">
        <v>4</v>
      </c>
      <c r="C811" s="7" t="s">
        <v>9</v>
      </c>
    </row>
    <row r="812" spans="1:3" x14ac:dyDescent="0.25">
      <c r="A812" s="6">
        <v>61535</v>
      </c>
      <c r="B812" s="7" t="s">
        <v>0</v>
      </c>
      <c r="C812" s="7" t="s">
        <v>10</v>
      </c>
    </row>
    <row r="813" spans="1:3" x14ac:dyDescent="0.25">
      <c r="A813" s="6">
        <v>61613</v>
      </c>
      <c r="B813" s="7" t="s">
        <v>6</v>
      </c>
      <c r="C813" s="7" t="s">
        <v>11</v>
      </c>
    </row>
    <row r="814" spans="1:3" x14ac:dyDescent="0.25">
      <c r="A814" s="6">
        <v>61648</v>
      </c>
      <c r="B814" s="7" t="s">
        <v>6</v>
      </c>
      <c r="C814" s="7" t="s">
        <v>19</v>
      </c>
    </row>
    <row r="815" spans="1:3" x14ac:dyDescent="0.25">
      <c r="A815" s="6">
        <v>61669</v>
      </c>
      <c r="B815" s="7" t="s">
        <v>6</v>
      </c>
      <c r="C815" s="7" t="s">
        <v>12</v>
      </c>
    </row>
    <row r="816" spans="1:3" x14ac:dyDescent="0.25">
      <c r="A816" s="6">
        <v>61682</v>
      </c>
      <c r="B816" s="7" t="s">
        <v>0</v>
      </c>
      <c r="C816" s="7" t="s">
        <v>14</v>
      </c>
    </row>
    <row r="817" spans="1:3" x14ac:dyDescent="0.25">
      <c r="A817" s="6">
        <v>61722</v>
      </c>
      <c r="B817" s="7" t="s">
        <v>4</v>
      </c>
      <c r="C817" s="7" t="s">
        <v>1</v>
      </c>
    </row>
    <row r="818" spans="1:3" x14ac:dyDescent="0.25">
      <c r="A818" s="4">
        <v>61729</v>
      </c>
      <c r="B818" s="5" t="s">
        <v>4</v>
      </c>
      <c r="C818" s="5" t="s">
        <v>2</v>
      </c>
    </row>
    <row r="819" spans="1:3" x14ac:dyDescent="0.25">
      <c r="A819" s="4">
        <v>61784</v>
      </c>
      <c r="B819" s="5" t="s">
        <v>3</v>
      </c>
      <c r="C819" s="5" t="s">
        <v>5</v>
      </c>
    </row>
    <row r="820" spans="1:3" x14ac:dyDescent="0.25">
      <c r="A820" s="4">
        <v>61785</v>
      </c>
      <c r="B820" s="5" t="s">
        <v>4</v>
      </c>
      <c r="C820" s="5" t="s">
        <v>5</v>
      </c>
    </row>
    <row r="821" spans="1:3" x14ac:dyDescent="0.25">
      <c r="A821" s="4">
        <v>61830</v>
      </c>
      <c r="B821" s="5" t="s">
        <v>6</v>
      </c>
      <c r="C821" s="5" t="s">
        <v>7</v>
      </c>
    </row>
    <row r="822" spans="1:3" x14ac:dyDescent="0.25">
      <c r="A822" s="4">
        <v>61839</v>
      </c>
      <c r="B822" s="5" t="s">
        <v>20</v>
      </c>
      <c r="C822" s="5" t="s">
        <v>8</v>
      </c>
    </row>
    <row r="823" spans="1:3" x14ac:dyDescent="0.25">
      <c r="A823" s="4">
        <v>61849</v>
      </c>
      <c r="B823" s="5" t="s">
        <v>13</v>
      </c>
      <c r="C823" s="5" t="s">
        <v>9</v>
      </c>
    </row>
    <row r="824" spans="1:3" x14ac:dyDescent="0.25">
      <c r="A824" s="4">
        <v>61892</v>
      </c>
      <c r="B824" s="5" t="s">
        <v>0</v>
      </c>
      <c r="C824" s="5" t="s">
        <v>10</v>
      </c>
    </row>
    <row r="825" spans="1:3" x14ac:dyDescent="0.25">
      <c r="A825" s="4">
        <v>61978</v>
      </c>
      <c r="B825" s="5" t="s">
        <v>18</v>
      </c>
      <c r="C825" s="5" t="s">
        <v>11</v>
      </c>
    </row>
    <row r="826" spans="1:3" x14ac:dyDescent="0.25">
      <c r="A826" s="4">
        <v>62013</v>
      </c>
      <c r="B826" s="5" t="s">
        <v>18</v>
      </c>
      <c r="C826" s="5" t="s">
        <v>19</v>
      </c>
    </row>
    <row r="827" spans="1:3" x14ac:dyDescent="0.25">
      <c r="A827" s="4">
        <v>62034</v>
      </c>
      <c r="B827" s="5" t="s">
        <v>18</v>
      </c>
      <c r="C827" s="5" t="s">
        <v>12</v>
      </c>
    </row>
    <row r="828" spans="1:3" x14ac:dyDescent="0.25">
      <c r="A828" s="4">
        <v>62047</v>
      </c>
      <c r="B828" s="5" t="s">
        <v>6</v>
      </c>
      <c r="C828" s="5" t="s">
        <v>14</v>
      </c>
    </row>
    <row r="829" spans="1:3" x14ac:dyDescent="0.25">
      <c r="A829" s="4">
        <v>62087</v>
      </c>
      <c r="B829" s="5" t="s">
        <v>13</v>
      </c>
      <c r="C829" s="5" t="s">
        <v>1</v>
      </c>
    </row>
    <row r="830" spans="1:3" x14ac:dyDescent="0.25">
      <c r="A830" s="6">
        <v>62094</v>
      </c>
      <c r="B830" s="7" t="s">
        <v>13</v>
      </c>
      <c r="C830" s="7" t="s">
        <v>2</v>
      </c>
    </row>
    <row r="831" spans="1:3" x14ac:dyDescent="0.25">
      <c r="A831" s="6">
        <v>62134</v>
      </c>
      <c r="B831" s="7" t="s">
        <v>3</v>
      </c>
      <c r="C831" s="7" t="s">
        <v>5</v>
      </c>
    </row>
    <row r="832" spans="1:3" x14ac:dyDescent="0.25">
      <c r="A832" s="6">
        <v>62135</v>
      </c>
      <c r="B832" s="7" t="s">
        <v>4</v>
      </c>
      <c r="C832" s="7" t="s">
        <v>5</v>
      </c>
    </row>
    <row r="833" spans="1:3" x14ac:dyDescent="0.25">
      <c r="A833" s="6">
        <v>62180</v>
      </c>
      <c r="B833" s="7" t="s">
        <v>6</v>
      </c>
      <c r="C833" s="7" t="s">
        <v>7</v>
      </c>
    </row>
    <row r="834" spans="1:3" x14ac:dyDescent="0.25">
      <c r="A834" s="6">
        <v>62204</v>
      </c>
      <c r="B834" s="7" t="s">
        <v>3</v>
      </c>
      <c r="C834" s="7" t="s">
        <v>8</v>
      </c>
    </row>
    <row r="835" spans="1:3" x14ac:dyDescent="0.25">
      <c r="A835" s="6">
        <v>62214</v>
      </c>
      <c r="B835" s="7" t="s">
        <v>0</v>
      </c>
      <c r="C835" s="7" t="s">
        <v>9</v>
      </c>
    </row>
    <row r="836" spans="1:3" x14ac:dyDescent="0.25">
      <c r="A836" s="6">
        <v>62242</v>
      </c>
      <c r="B836" s="7" t="s">
        <v>0</v>
      </c>
      <c r="C836" s="7" t="s">
        <v>10</v>
      </c>
    </row>
    <row r="837" spans="1:3" x14ac:dyDescent="0.25">
      <c r="A837" s="6">
        <v>62343</v>
      </c>
      <c r="B837" s="7" t="s">
        <v>20</v>
      </c>
      <c r="C837" s="7" t="s">
        <v>11</v>
      </c>
    </row>
    <row r="838" spans="1:3" x14ac:dyDescent="0.25">
      <c r="A838" s="6">
        <v>62378</v>
      </c>
      <c r="B838" s="7" t="s">
        <v>20</v>
      </c>
      <c r="C838" s="7" t="s">
        <v>19</v>
      </c>
    </row>
    <row r="839" spans="1:3" x14ac:dyDescent="0.25">
      <c r="A839" s="6">
        <v>62399</v>
      </c>
      <c r="B839" s="7" t="s">
        <v>20</v>
      </c>
      <c r="C839" s="7" t="s">
        <v>12</v>
      </c>
    </row>
    <row r="840" spans="1:3" x14ac:dyDescent="0.25">
      <c r="A840" s="6">
        <v>62412</v>
      </c>
      <c r="B840" s="7" t="s">
        <v>18</v>
      </c>
      <c r="C840" s="7" t="s">
        <v>14</v>
      </c>
    </row>
    <row r="841" spans="1:3" x14ac:dyDescent="0.25">
      <c r="A841" s="6">
        <v>62452</v>
      </c>
      <c r="B841" s="7" t="s">
        <v>0</v>
      </c>
      <c r="C841" s="7" t="s">
        <v>1</v>
      </c>
    </row>
    <row r="842" spans="1:3" x14ac:dyDescent="0.25">
      <c r="A842" s="4">
        <v>62459</v>
      </c>
      <c r="B842" s="5" t="s">
        <v>0</v>
      </c>
      <c r="C842" s="5" t="s">
        <v>2</v>
      </c>
    </row>
    <row r="843" spans="1:3" x14ac:dyDescent="0.25">
      <c r="A843" s="4">
        <v>62519</v>
      </c>
      <c r="B843" s="5" t="s">
        <v>3</v>
      </c>
      <c r="C843" s="5" t="s">
        <v>5</v>
      </c>
    </row>
    <row r="844" spans="1:3" x14ac:dyDescent="0.25">
      <c r="A844" s="4">
        <v>62520</v>
      </c>
      <c r="B844" s="5" t="s">
        <v>4</v>
      </c>
      <c r="C844" s="5" t="s">
        <v>5</v>
      </c>
    </row>
    <row r="845" spans="1:3" x14ac:dyDescent="0.25">
      <c r="A845" s="4">
        <v>62565</v>
      </c>
      <c r="B845" s="5" t="s">
        <v>6</v>
      </c>
      <c r="C845" s="5" t="s">
        <v>7</v>
      </c>
    </row>
    <row r="846" spans="1:3" x14ac:dyDescent="0.25">
      <c r="A846" s="4">
        <v>62569</v>
      </c>
      <c r="B846" s="5" t="s">
        <v>4</v>
      </c>
      <c r="C846" s="5" t="s">
        <v>8</v>
      </c>
    </row>
    <row r="847" spans="1:3" x14ac:dyDescent="0.25">
      <c r="A847" s="4">
        <v>62579</v>
      </c>
      <c r="B847" s="5" t="s">
        <v>6</v>
      </c>
      <c r="C847" s="5" t="s">
        <v>9</v>
      </c>
    </row>
    <row r="848" spans="1:3" x14ac:dyDescent="0.25">
      <c r="A848" s="4">
        <v>62627</v>
      </c>
      <c r="B848" s="5" t="s">
        <v>0</v>
      </c>
      <c r="C848" s="5" t="s">
        <v>10</v>
      </c>
    </row>
    <row r="849" spans="1:3" x14ac:dyDescent="0.25">
      <c r="A849" s="4">
        <v>62708</v>
      </c>
      <c r="B849" s="5" t="s">
        <v>3</v>
      </c>
      <c r="C849" s="5" t="s">
        <v>11</v>
      </c>
    </row>
    <row r="850" spans="1:3" x14ac:dyDescent="0.25">
      <c r="A850" s="4">
        <v>62743</v>
      </c>
      <c r="B850" s="5" t="s">
        <v>3</v>
      </c>
      <c r="C850" s="5" t="s">
        <v>19</v>
      </c>
    </row>
    <row r="851" spans="1:3" x14ac:dyDescent="0.25">
      <c r="A851" s="4">
        <v>62764</v>
      </c>
      <c r="B851" s="5" t="s">
        <v>3</v>
      </c>
      <c r="C851" s="5" t="s">
        <v>12</v>
      </c>
    </row>
    <row r="852" spans="1:3" x14ac:dyDescent="0.25">
      <c r="A852" s="4">
        <v>62777</v>
      </c>
      <c r="B852" s="5" t="s">
        <v>20</v>
      </c>
      <c r="C852" s="5" t="s">
        <v>14</v>
      </c>
    </row>
    <row r="853" spans="1:3" x14ac:dyDescent="0.25">
      <c r="A853" s="4">
        <v>62817</v>
      </c>
      <c r="B853" s="5" t="s">
        <v>6</v>
      </c>
      <c r="C853" s="5" t="s">
        <v>1</v>
      </c>
    </row>
    <row r="854" spans="1:3" x14ac:dyDescent="0.25">
      <c r="A854" s="6">
        <v>62824</v>
      </c>
      <c r="B854" s="7" t="s">
        <v>6</v>
      </c>
      <c r="C854" s="7" t="s">
        <v>2</v>
      </c>
    </row>
    <row r="855" spans="1:3" x14ac:dyDescent="0.25">
      <c r="A855" s="6">
        <v>62876</v>
      </c>
      <c r="B855" s="7" t="s">
        <v>3</v>
      </c>
      <c r="C855" s="7" t="s">
        <v>5</v>
      </c>
    </row>
    <row r="856" spans="1:3" x14ac:dyDescent="0.25">
      <c r="A856" s="6">
        <v>62877</v>
      </c>
      <c r="B856" s="7" t="s">
        <v>4</v>
      </c>
      <c r="C856" s="7" t="s">
        <v>5</v>
      </c>
    </row>
    <row r="857" spans="1:3" x14ac:dyDescent="0.25">
      <c r="A857" s="6">
        <v>62922</v>
      </c>
      <c r="B857" s="7" t="s">
        <v>6</v>
      </c>
      <c r="C857" s="7" t="s">
        <v>7</v>
      </c>
    </row>
    <row r="858" spans="1:3" x14ac:dyDescent="0.25">
      <c r="A858" s="6">
        <v>62935</v>
      </c>
      <c r="B858" s="7" t="s">
        <v>0</v>
      </c>
      <c r="C858" s="7" t="s">
        <v>8</v>
      </c>
    </row>
    <row r="859" spans="1:3" x14ac:dyDescent="0.25">
      <c r="A859" s="6">
        <v>62945</v>
      </c>
      <c r="B859" s="7" t="s">
        <v>20</v>
      </c>
      <c r="C859" s="7" t="s">
        <v>9</v>
      </c>
    </row>
    <row r="860" spans="1:3" x14ac:dyDescent="0.25">
      <c r="A860" s="6">
        <v>62984</v>
      </c>
      <c r="B860" s="7" t="s">
        <v>0</v>
      </c>
      <c r="C860" s="7" t="s">
        <v>10</v>
      </c>
    </row>
    <row r="861" spans="1:3" x14ac:dyDescent="0.25">
      <c r="A861" s="6">
        <v>63074</v>
      </c>
      <c r="B861" s="7" t="s">
        <v>13</v>
      </c>
      <c r="C861" s="7" t="s">
        <v>11</v>
      </c>
    </row>
    <row r="862" spans="1:3" x14ac:dyDescent="0.25">
      <c r="A862" s="6">
        <v>63109</v>
      </c>
      <c r="B862" s="7" t="s">
        <v>13</v>
      </c>
      <c r="C862" s="7" t="s">
        <v>19</v>
      </c>
    </row>
    <row r="863" spans="1:3" x14ac:dyDescent="0.25">
      <c r="A863" s="6">
        <v>63130</v>
      </c>
      <c r="B863" s="7" t="s">
        <v>13</v>
      </c>
      <c r="C863" s="7" t="s">
        <v>12</v>
      </c>
    </row>
    <row r="864" spans="1:3" x14ac:dyDescent="0.25">
      <c r="A864" s="6">
        <v>63143</v>
      </c>
      <c r="B864" s="7" t="s">
        <v>4</v>
      </c>
      <c r="C864" s="7" t="s">
        <v>14</v>
      </c>
    </row>
    <row r="865" spans="1:3" x14ac:dyDescent="0.25">
      <c r="A865" s="6">
        <v>63183</v>
      </c>
      <c r="B865" s="7" t="s">
        <v>20</v>
      </c>
      <c r="C865" s="7" t="s">
        <v>1</v>
      </c>
    </row>
    <row r="866" spans="1:3" x14ac:dyDescent="0.25">
      <c r="A866" s="4">
        <v>63190</v>
      </c>
      <c r="B866" s="5" t="s">
        <v>20</v>
      </c>
      <c r="C866" s="5" t="s">
        <v>2</v>
      </c>
    </row>
    <row r="867" spans="1:3" x14ac:dyDescent="0.25">
      <c r="A867" s="4">
        <v>63226</v>
      </c>
      <c r="B867" s="5" t="s">
        <v>3</v>
      </c>
      <c r="C867" s="5" t="s">
        <v>5</v>
      </c>
    </row>
    <row r="868" spans="1:3" x14ac:dyDescent="0.25">
      <c r="A868" s="4">
        <v>63227</v>
      </c>
      <c r="B868" s="5" t="s">
        <v>4</v>
      </c>
      <c r="C868" s="5" t="s">
        <v>5</v>
      </c>
    </row>
    <row r="869" spans="1:3" x14ac:dyDescent="0.25">
      <c r="A869" s="4">
        <v>63272</v>
      </c>
      <c r="B869" s="5" t="s">
        <v>6</v>
      </c>
      <c r="C869" s="5" t="s">
        <v>7</v>
      </c>
    </row>
    <row r="870" spans="1:3" x14ac:dyDescent="0.25">
      <c r="A870" s="4">
        <v>63300</v>
      </c>
      <c r="B870" s="5" t="s">
        <v>6</v>
      </c>
      <c r="C870" s="5" t="s">
        <v>8</v>
      </c>
    </row>
    <row r="871" spans="1:3" x14ac:dyDescent="0.25">
      <c r="A871" s="4">
        <v>63310</v>
      </c>
      <c r="B871" s="5" t="s">
        <v>3</v>
      </c>
      <c r="C871" s="5" t="s">
        <v>9</v>
      </c>
    </row>
    <row r="872" spans="1:3" x14ac:dyDescent="0.25">
      <c r="A872" s="4">
        <v>63334</v>
      </c>
      <c r="B872" s="5" t="s">
        <v>0</v>
      </c>
      <c r="C872" s="5" t="s">
        <v>10</v>
      </c>
    </row>
    <row r="873" spans="1:3" x14ac:dyDescent="0.25">
      <c r="A873" s="4">
        <v>63439</v>
      </c>
      <c r="B873" s="5" t="s">
        <v>0</v>
      </c>
      <c r="C873" s="5" t="s">
        <v>11</v>
      </c>
    </row>
    <row r="874" spans="1:3" x14ac:dyDescent="0.25">
      <c r="A874" s="4">
        <v>63474</v>
      </c>
      <c r="B874" s="5" t="s">
        <v>0</v>
      </c>
      <c r="C874" s="5" t="s">
        <v>19</v>
      </c>
    </row>
    <row r="875" spans="1:3" x14ac:dyDescent="0.25">
      <c r="A875" s="4">
        <v>63495</v>
      </c>
      <c r="B875" s="5" t="s">
        <v>0</v>
      </c>
      <c r="C875" s="5" t="s">
        <v>12</v>
      </c>
    </row>
    <row r="876" spans="1:3" x14ac:dyDescent="0.25">
      <c r="A876" s="4">
        <v>63508</v>
      </c>
      <c r="B876" s="5" t="s">
        <v>13</v>
      </c>
      <c r="C876" s="5" t="s">
        <v>14</v>
      </c>
    </row>
    <row r="877" spans="1:3" x14ac:dyDescent="0.25">
      <c r="A877" s="4">
        <v>63548</v>
      </c>
      <c r="B877" s="5" t="s">
        <v>3</v>
      </c>
      <c r="C877" s="5" t="s">
        <v>1</v>
      </c>
    </row>
    <row r="878" spans="1:3" x14ac:dyDescent="0.25">
      <c r="A878" s="6">
        <v>63555</v>
      </c>
      <c r="B878" s="7" t="s">
        <v>3</v>
      </c>
      <c r="C878" s="7" t="s">
        <v>2</v>
      </c>
    </row>
    <row r="879" spans="1:3" x14ac:dyDescent="0.25">
      <c r="A879" s="6">
        <v>63611</v>
      </c>
      <c r="B879" s="7" t="s">
        <v>3</v>
      </c>
      <c r="C879" s="7" t="s">
        <v>5</v>
      </c>
    </row>
    <row r="880" spans="1:3" x14ac:dyDescent="0.25">
      <c r="A880" s="6">
        <v>63612</v>
      </c>
      <c r="B880" s="7" t="s">
        <v>4</v>
      </c>
      <c r="C880" s="7" t="s">
        <v>5</v>
      </c>
    </row>
    <row r="881" spans="1:3" x14ac:dyDescent="0.25">
      <c r="A881" s="6">
        <v>63657</v>
      </c>
      <c r="B881" s="7" t="s">
        <v>6</v>
      </c>
      <c r="C881" s="7" t="s">
        <v>7</v>
      </c>
    </row>
    <row r="882" spans="1:3" x14ac:dyDescent="0.25">
      <c r="A882" s="6">
        <v>63665</v>
      </c>
      <c r="B882" s="7" t="s">
        <v>18</v>
      </c>
      <c r="C882" s="7" t="s">
        <v>8</v>
      </c>
    </row>
    <row r="883" spans="1:3" x14ac:dyDescent="0.25">
      <c r="A883" s="6">
        <v>63675</v>
      </c>
      <c r="B883" s="7" t="s">
        <v>4</v>
      </c>
      <c r="C883" s="7" t="s">
        <v>9</v>
      </c>
    </row>
    <row r="884" spans="1:3" x14ac:dyDescent="0.25">
      <c r="A884" s="6">
        <v>63719</v>
      </c>
      <c r="B884" s="7" t="s">
        <v>0</v>
      </c>
      <c r="C884" s="7" t="s">
        <v>10</v>
      </c>
    </row>
    <row r="885" spans="1:3" x14ac:dyDescent="0.25">
      <c r="A885" s="6">
        <v>63804</v>
      </c>
      <c r="B885" s="7" t="s">
        <v>6</v>
      </c>
      <c r="C885" s="7" t="s">
        <v>11</v>
      </c>
    </row>
    <row r="886" spans="1:3" x14ac:dyDescent="0.25">
      <c r="A886" s="6">
        <v>63839</v>
      </c>
      <c r="B886" s="7" t="s">
        <v>6</v>
      </c>
      <c r="C886" s="7" t="s">
        <v>19</v>
      </c>
    </row>
    <row r="887" spans="1:3" x14ac:dyDescent="0.25">
      <c r="A887" s="6">
        <v>63860</v>
      </c>
      <c r="B887" s="7" t="s">
        <v>6</v>
      </c>
      <c r="C887" s="7" t="s">
        <v>12</v>
      </c>
    </row>
    <row r="888" spans="1:3" x14ac:dyDescent="0.25">
      <c r="A888" s="6">
        <v>63873</v>
      </c>
      <c r="B888" s="7" t="s">
        <v>0</v>
      </c>
      <c r="C888" s="7" t="s">
        <v>14</v>
      </c>
    </row>
    <row r="889" spans="1:3" x14ac:dyDescent="0.25">
      <c r="A889" s="6">
        <v>63913</v>
      </c>
      <c r="B889" s="7" t="s">
        <v>4</v>
      </c>
      <c r="C889" s="7" t="s">
        <v>1</v>
      </c>
    </row>
    <row r="890" spans="1:3" x14ac:dyDescent="0.25">
      <c r="A890" s="4">
        <v>63920</v>
      </c>
      <c r="B890" s="5" t="s">
        <v>4</v>
      </c>
      <c r="C890" s="5" t="s">
        <v>2</v>
      </c>
    </row>
    <row r="891" spans="1:3" x14ac:dyDescent="0.25">
      <c r="A891" s="4">
        <v>63968</v>
      </c>
      <c r="B891" s="5" t="s">
        <v>3</v>
      </c>
      <c r="C891" s="5" t="s">
        <v>5</v>
      </c>
    </row>
    <row r="892" spans="1:3" x14ac:dyDescent="0.25">
      <c r="A892" s="4">
        <v>63969</v>
      </c>
      <c r="B892" s="5" t="s">
        <v>4</v>
      </c>
      <c r="C892" s="5" t="s">
        <v>5</v>
      </c>
    </row>
    <row r="893" spans="1:3" x14ac:dyDescent="0.25">
      <c r="A893" s="4">
        <v>64014</v>
      </c>
      <c r="B893" s="5" t="s">
        <v>6</v>
      </c>
      <c r="C893" s="5" t="s">
        <v>7</v>
      </c>
    </row>
    <row r="894" spans="1:3" x14ac:dyDescent="0.25">
      <c r="A894" s="4">
        <v>64030</v>
      </c>
      <c r="B894" s="5" t="s">
        <v>20</v>
      </c>
      <c r="C894" s="5" t="s">
        <v>8</v>
      </c>
    </row>
    <row r="895" spans="1:3" x14ac:dyDescent="0.25">
      <c r="A895" s="4">
        <v>64040</v>
      </c>
      <c r="B895" s="5" t="s">
        <v>13</v>
      </c>
      <c r="C895" s="5" t="s">
        <v>9</v>
      </c>
    </row>
    <row r="896" spans="1:3" x14ac:dyDescent="0.25">
      <c r="A896" s="4">
        <v>64076</v>
      </c>
      <c r="B896" s="5" t="s">
        <v>0</v>
      </c>
      <c r="C896" s="5" t="s">
        <v>10</v>
      </c>
    </row>
    <row r="897" spans="1:3" x14ac:dyDescent="0.25">
      <c r="A897" s="4">
        <v>64169</v>
      </c>
      <c r="B897" s="5" t="s">
        <v>18</v>
      </c>
      <c r="C897" s="5" t="s">
        <v>11</v>
      </c>
    </row>
    <row r="898" spans="1:3" x14ac:dyDescent="0.25">
      <c r="A898" s="4">
        <v>64204</v>
      </c>
      <c r="B898" s="5" t="s">
        <v>18</v>
      </c>
      <c r="C898" s="5" t="s">
        <v>19</v>
      </c>
    </row>
    <row r="899" spans="1:3" x14ac:dyDescent="0.25">
      <c r="A899" s="4">
        <v>64225</v>
      </c>
      <c r="B899" s="5" t="s">
        <v>18</v>
      </c>
      <c r="C899" s="5" t="s">
        <v>12</v>
      </c>
    </row>
    <row r="900" spans="1:3" x14ac:dyDescent="0.25">
      <c r="A900" s="4">
        <v>64238</v>
      </c>
      <c r="B900" s="5" t="s">
        <v>6</v>
      </c>
      <c r="C900" s="5" t="s">
        <v>14</v>
      </c>
    </row>
    <row r="901" spans="1:3" x14ac:dyDescent="0.25">
      <c r="A901" s="4">
        <v>64278</v>
      </c>
      <c r="B901" s="5" t="s">
        <v>13</v>
      </c>
      <c r="C901" s="5" t="s">
        <v>1</v>
      </c>
    </row>
    <row r="902" spans="1:3" x14ac:dyDescent="0.25">
      <c r="A902" s="6">
        <v>64285</v>
      </c>
      <c r="B902" s="7" t="s">
        <v>13</v>
      </c>
      <c r="C902" s="7" t="s">
        <v>2</v>
      </c>
    </row>
    <row r="903" spans="1:3" x14ac:dyDescent="0.25">
      <c r="A903" s="6">
        <v>64346</v>
      </c>
      <c r="B903" s="7" t="s">
        <v>3</v>
      </c>
      <c r="C903" s="7" t="s">
        <v>5</v>
      </c>
    </row>
    <row r="904" spans="1:3" x14ac:dyDescent="0.25">
      <c r="A904" s="6">
        <v>64347</v>
      </c>
      <c r="B904" s="7" t="s">
        <v>4</v>
      </c>
      <c r="C904" s="7" t="s">
        <v>5</v>
      </c>
    </row>
    <row r="905" spans="1:3" x14ac:dyDescent="0.25">
      <c r="A905" s="6">
        <v>64392</v>
      </c>
      <c r="B905" s="7" t="s">
        <v>6</v>
      </c>
      <c r="C905" s="7" t="s">
        <v>7</v>
      </c>
    </row>
    <row r="906" spans="1:3" x14ac:dyDescent="0.25">
      <c r="A906" s="6">
        <v>64396</v>
      </c>
      <c r="B906" s="7" t="s">
        <v>4</v>
      </c>
      <c r="C906" s="7" t="s">
        <v>8</v>
      </c>
    </row>
    <row r="907" spans="1:3" x14ac:dyDescent="0.25">
      <c r="A907" s="6">
        <v>64406</v>
      </c>
      <c r="B907" s="7" t="s">
        <v>6</v>
      </c>
      <c r="C907" s="7" t="s">
        <v>9</v>
      </c>
    </row>
    <row r="908" spans="1:3" x14ac:dyDescent="0.25">
      <c r="A908" s="6">
        <v>64454</v>
      </c>
      <c r="B908" s="7" t="s">
        <v>0</v>
      </c>
      <c r="C908" s="7" t="s">
        <v>10</v>
      </c>
    </row>
    <row r="909" spans="1:3" x14ac:dyDescent="0.25">
      <c r="A909" s="6">
        <v>64535</v>
      </c>
      <c r="B909" s="7" t="s">
        <v>3</v>
      </c>
      <c r="C909" s="7" t="s">
        <v>11</v>
      </c>
    </row>
    <row r="910" spans="1:3" x14ac:dyDescent="0.25">
      <c r="A910" s="6">
        <v>64570</v>
      </c>
      <c r="B910" s="7" t="s">
        <v>3</v>
      </c>
      <c r="C910" s="7" t="s">
        <v>19</v>
      </c>
    </row>
    <row r="911" spans="1:3" x14ac:dyDescent="0.25">
      <c r="A911" s="6">
        <v>64591</v>
      </c>
      <c r="B911" s="7" t="s">
        <v>3</v>
      </c>
      <c r="C911" s="7" t="s">
        <v>12</v>
      </c>
    </row>
    <row r="912" spans="1:3" x14ac:dyDescent="0.25">
      <c r="A912" s="6">
        <v>64604</v>
      </c>
      <c r="B912" s="7" t="s">
        <v>20</v>
      </c>
      <c r="C912" s="7" t="s">
        <v>14</v>
      </c>
    </row>
    <row r="913" spans="1:3" x14ac:dyDescent="0.25">
      <c r="A913" s="6">
        <v>64644</v>
      </c>
      <c r="B913" s="7" t="s">
        <v>6</v>
      </c>
      <c r="C913" s="7" t="s">
        <v>1</v>
      </c>
    </row>
    <row r="914" spans="1:3" x14ac:dyDescent="0.25">
      <c r="A914" s="4">
        <v>64651</v>
      </c>
      <c r="B914" s="5" t="s">
        <v>6</v>
      </c>
      <c r="C914" s="5" t="s">
        <v>2</v>
      </c>
    </row>
    <row r="915" spans="1:3" x14ac:dyDescent="0.25">
      <c r="A915" s="4">
        <v>64703</v>
      </c>
      <c r="B915" s="5" t="s">
        <v>3</v>
      </c>
      <c r="C915" s="5" t="s">
        <v>5</v>
      </c>
    </row>
    <row r="916" spans="1:3" x14ac:dyDescent="0.25">
      <c r="A916" s="4">
        <v>64704</v>
      </c>
      <c r="B916" s="5" t="s">
        <v>4</v>
      </c>
      <c r="C916" s="5" t="s">
        <v>5</v>
      </c>
    </row>
    <row r="917" spans="1:3" x14ac:dyDescent="0.25">
      <c r="A917" s="4">
        <v>64749</v>
      </c>
      <c r="B917" s="5" t="s">
        <v>6</v>
      </c>
      <c r="C917" s="5" t="s">
        <v>7</v>
      </c>
    </row>
    <row r="918" spans="1:3" x14ac:dyDescent="0.25">
      <c r="A918" s="4">
        <v>64761</v>
      </c>
      <c r="B918" s="5" t="s">
        <v>13</v>
      </c>
      <c r="C918" s="5" t="s">
        <v>8</v>
      </c>
    </row>
    <row r="919" spans="1:3" x14ac:dyDescent="0.25">
      <c r="A919" s="4">
        <v>64771</v>
      </c>
      <c r="B919" s="5" t="s">
        <v>18</v>
      </c>
      <c r="C919" s="5" t="s">
        <v>9</v>
      </c>
    </row>
    <row r="920" spans="1:3" x14ac:dyDescent="0.25">
      <c r="A920" s="4">
        <v>64811</v>
      </c>
      <c r="B920" s="5" t="s">
        <v>0</v>
      </c>
      <c r="C920" s="5" t="s">
        <v>10</v>
      </c>
    </row>
    <row r="921" spans="1:3" x14ac:dyDescent="0.25">
      <c r="A921" s="4">
        <v>64900</v>
      </c>
      <c r="B921" s="5" t="s">
        <v>4</v>
      </c>
      <c r="C921" s="5" t="s">
        <v>11</v>
      </c>
    </row>
    <row r="922" spans="1:3" x14ac:dyDescent="0.25">
      <c r="A922" s="4">
        <v>64935</v>
      </c>
      <c r="B922" s="5" t="s">
        <v>4</v>
      </c>
      <c r="C922" s="5" t="s">
        <v>19</v>
      </c>
    </row>
    <row r="923" spans="1:3" x14ac:dyDescent="0.25">
      <c r="A923" s="4">
        <v>64956</v>
      </c>
      <c r="B923" s="5" t="s">
        <v>4</v>
      </c>
      <c r="C923" s="5" t="s">
        <v>12</v>
      </c>
    </row>
    <row r="924" spans="1:3" x14ac:dyDescent="0.25">
      <c r="A924" s="4">
        <v>64969</v>
      </c>
      <c r="B924" s="5" t="s">
        <v>3</v>
      </c>
      <c r="C924" s="5" t="s">
        <v>14</v>
      </c>
    </row>
    <row r="925" spans="1:3" x14ac:dyDescent="0.25">
      <c r="A925" s="4">
        <v>65009</v>
      </c>
      <c r="B925" s="5" t="s">
        <v>18</v>
      </c>
      <c r="C925" s="5" t="s">
        <v>1</v>
      </c>
    </row>
    <row r="926" spans="1:3" x14ac:dyDescent="0.25">
      <c r="A926" s="6">
        <v>65016</v>
      </c>
      <c r="B926" s="7" t="s">
        <v>4</v>
      </c>
      <c r="C926" s="7" t="s">
        <v>2</v>
      </c>
    </row>
    <row r="927" spans="1:3" x14ac:dyDescent="0.25">
      <c r="A927" s="6">
        <v>65060</v>
      </c>
      <c r="B927" s="7" t="s">
        <v>3</v>
      </c>
      <c r="C927" s="7" t="s">
        <v>5</v>
      </c>
    </row>
    <row r="928" spans="1:3" x14ac:dyDescent="0.25">
      <c r="A928" s="6">
        <v>65061</v>
      </c>
      <c r="B928" s="7" t="s">
        <v>4</v>
      </c>
      <c r="C928" s="7" t="s">
        <v>5</v>
      </c>
    </row>
    <row r="929" spans="1:3" x14ac:dyDescent="0.25">
      <c r="A929" s="6">
        <v>65106</v>
      </c>
      <c r="B929" s="7" t="s">
        <v>6</v>
      </c>
      <c r="C929" s="7" t="s">
        <v>7</v>
      </c>
    </row>
    <row r="930" spans="1:3" x14ac:dyDescent="0.25">
      <c r="A930" s="6">
        <v>65126</v>
      </c>
      <c r="B930" s="7" t="s">
        <v>0</v>
      </c>
      <c r="C930" s="7" t="s">
        <v>8</v>
      </c>
    </row>
    <row r="931" spans="1:3" x14ac:dyDescent="0.25">
      <c r="A931" s="6">
        <v>65136</v>
      </c>
      <c r="B931" s="7" t="s">
        <v>13</v>
      </c>
      <c r="C931" s="7" t="s">
        <v>9</v>
      </c>
    </row>
    <row r="932" spans="1:3" x14ac:dyDescent="0.25">
      <c r="A932" s="6">
        <v>65168</v>
      </c>
      <c r="B932" s="7" t="s">
        <v>0</v>
      </c>
      <c r="C932" s="7" t="s">
        <v>10</v>
      </c>
    </row>
    <row r="933" spans="1:3" x14ac:dyDescent="0.25">
      <c r="A933" s="6">
        <v>65265</v>
      </c>
      <c r="B933" s="7" t="s">
        <v>13</v>
      </c>
      <c r="C933" s="7" t="s">
        <v>11</v>
      </c>
    </row>
    <row r="934" spans="1:3" x14ac:dyDescent="0.25">
      <c r="A934" s="6">
        <v>65300</v>
      </c>
      <c r="B934" s="7" t="s">
        <v>13</v>
      </c>
      <c r="C934" s="7" t="s">
        <v>19</v>
      </c>
    </row>
    <row r="935" spans="1:3" x14ac:dyDescent="0.25">
      <c r="A935" s="6">
        <v>65321</v>
      </c>
      <c r="B935" s="7" t="s">
        <v>13</v>
      </c>
      <c r="C935" s="7" t="s">
        <v>12</v>
      </c>
    </row>
    <row r="936" spans="1:3" x14ac:dyDescent="0.25">
      <c r="A936" s="6">
        <v>65334</v>
      </c>
      <c r="B936" s="7" t="s">
        <v>4</v>
      </c>
      <c r="C936" s="7" t="s">
        <v>14</v>
      </c>
    </row>
    <row r="937" spans="1:3" x14ac:dyDescent="0.25">
      <c r="A937" s="6">
        <v>65374</v>
      </c>
      <c r="B937" s="7" t="s">
        <v>13</v>
      </c>
      <c r="C937" s="7" t="s">
        <v>1</v>
      </c>
    </row>
    <row r="938" spans="1:3" x14ac:dyDescent="0.25">
      <c r="A938" s="8" t="s">
        <v>23</v>
      </c>
      <c r="B938" s="1"/>
      <c r="C938" s="1"/>
    </row>
  </sheetData>
  <pageMargins left="0.78740157499999996" right="0.78740157499999996" top="0.984251969" bottom="0.984251969" header="0.49212598499999999" footer="0.49212598499999999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J7"/>
  <sheetViews>
    <sheetView workbookViewId="0">
      <selection activeCell="E2" sqref="E2"/>
    </sheetView>
  </sheetViews>
  <sheetFormatPr defaultRowHeight="15" x14ac:dyDescent="0.25"/>
  <cols>
    <col min="1" max="1" width="9.85546875" bestFit="1" customWidth="1"/>
    <col min="2" max="2" width="11.85546875" bestFit="1" customWidth="1"/>
    <col min="4" max="4" width="9.5703125" bestFit="1" customWidth="1"/>
    <col min="7" max="7" width="14.7109375" bestFit="1" customWidth="1"/>
    <col min="10" max="10" width="9.5703125" bestFit="1" customWidth="1"/>
  </cols>
  <sheetData>
    <row r="1" spans="1:10" x14ac:dyDescent="0.25">
      <c r="A1" s="9" t="s">
        <v>21</v>
      </c>
      <c r="B1" s="9" t="s">
        <v>22</v>
      </c>
      <c r="C1" s="9" t="s">
        <v>25</v>
      </c>
      <c r="D1" s="9" t="s">
        <v>24</v>
      </c>
      <c r="E1" s="15" t="s">
        <v>26</v>
      </c>
      <c r="G1" s="9" t="s">
        <v>22</v>
      </c>
      <c r="H1" s="9" t="s">
        <v>27</v>
      </c>
      <c r="I1" s="9" t="s">
        <v>25</v>
      </c>
      <c r="J1" s="9" t="s">
        <v>28</v>
      </c>
    </row>
    <row r="2" spans="1:10" x14ac:dyDescent="0.25">
      <c r="A2" s="10">
        <v>43332</v>
      </c>
      <c r="B2" s="10">
        <v>43466</v>
      </c>
      <c r="C2" s="11">
        <f>GetWorkDays(A2,B2)</f>
        <v>91</v>
      </c>
      <c r="D2" s="12">
        <v>1000</v>
      </c>
      <c r="E2" s="16">
        <f>D2/(1+H3%)^(C2/252)</f>
        <v>976.5280795134496</v>
      </c>
      <c r="G2" s="13">
        <v>43435</v>
      </c>
      <c r="H2" s="14">
        <v>6.57</v>
      </c>
      <c r="I2" s="19">
        <f>GetWorkDays($A$2,G2)</f>
        <v>71</v>
      </c>
      <c r="J2" s="17">
        <f>(1+H2%)^(I2/252)</f>
        <v>1.0180896958473531</v>
      </c>
    </row>
    <row r="3" spans="1:10" x14ac:dyDescent="0.25">
      <c r="G3" s="13">
        <v>43466</v>
      </c>
      <c r="H3" s="18">
        <f>(J3^(252/I3)-1)*100</f>
        <v>6.7985477796855154</v>
      </c>
      <c r="I3" s="19">
        <f>GetWorkDays($A$2,G3)</f>
        <v>91</v>
      </c>
      <c r="J3" s="17">
        <f>J2*J7</f>
        <v>1.0240360937682869</v>
      </c>
    </row>
    <row r="4" spans="1:10" x14ac:dyDescent="0.25">
      <c r="G4" s="13">
        <v>43556</v>
      </c>
      <c r="H4" s="11">
        <v>7.125</v>
      </c>
      <c r="I4" s="19">
        <f>GetWorkDays($A$2,G4)</f>
        <v>152</v>
      </c>
      <c r="J4" s="17">
        <f>(1+H4%)^(I4/252)</f>
        <v>1.0423879744985229</v>
      </c>
    </row>
    <row r="6" spans="1:10" x14ac:dyDescent="0.25">
      <c r="G6" s="20" t="s">
        <v>29</v>
      </c>
      <c r="I6" s="19">
        <f>I4-I2</f>
        <v>81</v>
      </c>
      <c r="J6" s="17">
        <f>J4/J2</f>
        <v>1.0238665401980585</v>
      </c>
    </row>
    <row r="7" spans="1:10" x14ac:dyDescent="0.25">
      <c r="G7" s="20" t="s">
        <v>30</v>
      </c>
      <c r="I7" s="19">
        <f>I3-I2</f>
        <v>20</v>
      </c>
      <c r="J7" s="17">
        <f>J6^(I7/I6)</f>
        <v>1.0058407406981804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7"/>
  <sheetViews>
    <sheetView workbookViewId="0">
      <selection activeCell="G2" sqref="G2"/>
    </sheetView>
  </sheetViews>
  <sheetFormatPr defaultRowHeight="15" x14ac:dyDescent="0.25"/>
  <cols>
    <col min="1" max="1" width="9.85546875" bestFit="1" customWidth="1"/>
    <col min="2" max="2" width="11.85546875" bestFit="1" customWidth="1"/>
    <col min="4" max="4" width="9.5703125" bestFit="1" customWidth="1"/>
    <col min="7" max="7" width="14.7109375" customWidth="1"/>
    <col min="8" max="8" width="9.140625" bestFit="1" customWidth="1"/>
  </cols>
  <sheetData>
    <row r="1" spans="1:10" x14ac:dyDescent="0.25">
      <c r="A1" s="9" t="s">
        <v>21</v>
      </c>
      <c r="B1" s="9" t="s">
        <v>22</v>
      </c>
      <c r="C1" s="9" t="s">
        <v>25</v>
      </c>
      <c r="D1" s="9" t="s">
        <v>24</v>
      </c>
      <c r="E1" s="15" t="s">
        <v>26</v>
      </c>
      <c r="G1" s="9" t="s">
        <v>22</v>
      </c>
      <c r="H1" s="9" t="s">
        <v>27</v>
      </c>
      <c r="I1" s="9" t="s">
        <v>25</v>
      </c>
      <c r="J1" s="9" t="s">
        <v>28</v>
      </c>
    </row>
    <row r="2" spans="1:10" x14ac:dyDescent="0.25">
      <c r="A2" s="10">
        <v>43340</v>
      </c>
      <c r="B2" s="10">
        <v>43556</v>
      </c>
      <c r="C2" s="11">
        <f>GetWorkDays(A2,B2)</f>
        <v>146</v>
      </c>
      <c r="D2" s="12">
        <v>1000</v>
      </c>
      <c r="E2" s="16">
        <f>D2/(1+H3%)^(C2/252)</f>
        <v>960.3786336220503</v>
      </c>
      <c r="G2" s="13">
        <v>43466</v>
      </c>
      <c r="H2" s="21">
        <v>7.1</v>
      </c>
      <c r="I2" s="19">
        <f>GetWorkDays($A$2,G2)</f>
        <v>85</v>
      </c>
      <c r="J2" s="20">
        <f>(1+H2%)^(I2/252)</f>
        <v>1.0234061814057798</v>
      </c>
    </row>
    <row r="3" spans="1:10" x14ac:dyDescent="0.25">
      <c r="G3" s="13">
        <v>43556</v>
      </c>
      <c r="H3" s="22">
        <f>(J3^(252/I3)-1)*100</f>
        <v>7.22714540574807</v>
      </c>
      <c r="I3" s="19">
        <f>GetWorkDays($A$2,G3)</f>
        <v>146</v>
      </c>
      <c r="J3" s="20">
        <f>J2*J7</f>
        <v>1.0412559848697576</v>
      </c>
    </row>
    <row r="4" spans="1:10" x14ac:dyDescent="0.25">
      <c r="G4" s="13">
        <v>43647</v>
      </c>
      <c r="H4" s="11">
        <v>7.28</v>
      </c>
      <c r="I4" s="19">
        <f>GetWorkDays($A$2,G4)</f>
        <v>208</v>
      </c>
      <c r="J4" s="20">
        <f>(1+H4%)^(I4/252)</f>
        <v>1.059717464264363</v>
      </c>
    </row>
    <row r="6" spans="1:10" x14ac:dyDescent="0.25">
      <c r="G6" s="19" t="s">
        <v>31</v>
      </c>
      <c r="I6" s="19">
        <f>I4-I2</f>
        <v>123</v>
      </c>
      <c r="J6" s="20">
        <f>J4/J2</f>
        <v>1.035480812524217</v>
      </c>
    </row>
    <row r="7" spans="1:10" x14ac:dyDescent="0.25">
      <c r="G7" s="19" t="s">
        <v>32</v>
      </c>
      <c r="I7" s="19">
        <f>I3-I2</f>
        <v>61</v>
      </c>
      <c r="J7" s="20">
        <f>J6^(I7/I6)</f>
        <v>1.0174415630746521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7"/>
  <sheetViews>
    <sheetView tabSelected="1" workbookViewId="0">
      <selection activeCell="E3" sqref="E3"/>
    </sheetView>
  </sheetViews>
  <sheetFormatPr defaultRowHeight="15" x14ac:dyDescent="0.25"/>
  <cols>
    <col min="1" max="1" width="9.85546875" bestFit="1" customWidth="1"/>
    <col min="2" max="2" width="11.85546875" bestFit="1" customWidth="1"/>
    <col min="4" max="5" width="9.5703125" bestFit="1" customWidth="1"/>
    <col min="7" max="7" width="14.5703125" bestFit="1" customWidth="1"/>
  </cols>
  <sheetData>
    <row r="1" spans="1:10" x14ac:dyDescent="0.25">
      <c r="A1" s="9" t="s">
        <v>21</v>
      </c>
      <c r="B1" s="9" t="s">
        <v>22</v>
      </c>
      <c r="C1" s="9" t="s">
        <v>25</v>
      </c>
      <c r="D1" s="9" t="s">
        <v>24</v>
      </c>
      <c r="E1" s="15" t="s">
        <v>26</v>
      </c>
      <c r="G1" s="9" t="s">
        <v>22</v>
      </c>
      <c r="H1" s="9" t="s">
        <v>27</v>
      </c>
      <c r="I1" s="9" t="s">
        <v>25</v>
      </c>
      <c r="J1" s="9" t="s">
        <v>28</v>
      </c>
    </row>
    <row r="2" spans="1:10" x14ac:dyDescent="0.25">
      <c r="A2" s="10">
        <v>43340</v>
      </c>
      <c r="B2" s="10">
        <v>43831</v>
      </c>
      <c r="C2" s="11">
        <f>GetWorkDays(A2,B2)</f>
        <v>338</v>
      </c>
      <c r="D2" s="12">
        <v>1000</v>
      </c>
      <c r="E2" s="16">
        <f>D2/(1+H3%)^(C2/252)</f>
        <v>896.26185192087951</v>
      </c>
      <c r="G2" s="13">
        <v>43739</v>
      </c>
      <c r="H2" s="21">
        <v>8.1</v>
      </c>
      <c r="I2" s="11">
        <f>GetWorkDays($A$2,G2)</f>
        <v>274</v>
      </c>
      <c r="J2">
        <f>(1+H2%)^(I2/252)</f>
        <v>1.0883754342014345</v>
      </c>
    </row>
    <row r="3" spans="1:10" x14ac:dyDescent="0.25">
      <c r="G3" s="13">
        <v>43831</v>
      </c>
      <c r="H3" s="21">
        <f>(J3^(252/I3)-1)*100</f>
        <v>8.508242312312241</v>
      </c>
      <c r="I3" s="11">
        <f>GetWorkDays($A$2,G3)</f>
        <v>338</v>
      </c>
      <c r="J3">
        <f>J2*J7</f>
        <v>1.1157453570703557</v>
      </c>
    </row>
    <row r="4" spans="1:10" x14ac:dyDescent="0.25">
      <c r="G4" s="13">
        <v>43922</v>
      </c>
      <c r="H4" s="11">
        <v>8.7799999999999994</v>
      </c>
      <c r="I4" s="11">
        <f>GetWorkDays($A$2,G4)</f>
        <v>400</v>
      </c>
      <c r="J4">
        <f>(1+H4%)^(I4/252)</f>
        <v>1.1429161569036994</v>
      </c>
    </row>
    <row r="6" spans="1:10" x14ac:dyDescent="0.25">
      <c r="G6" t="s">
        <v>33</v>
      </c>
      <c r="I6" s="11">
        <f>I4-I2</f>
        <v>126</v>
      </c>
      <c r="J6">
        <f>J4/J2</f>
        <v>1.050112048644577</v>
      </c>
    </row>
    <row r="7" spans="1:10" x14ac:dyDescent="0.25">
      <c r="G7" t="s">
        <v>34</v>
      </c>
      <c r="I7" s="11">
        <f>I3-I2</f>
        <v>64</v>
      </c>
      <c r="J7">
        <f>J6^(I7/I6)</f>
        <v>1.0251475015043896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</vt:i4>
      </vt:variant>
    </vt:vector>
  </HeadingPairs>
  <TitlesOfParts>
    <vt:vector size="5" baseType="lpstr">
      <vt:lpstr>Holidays</vt:lpstr>
      <vt:lpstr>Exercício 1</vt:lpstr>
      <vt:lpstr>Extra - Exercício 11</vt:lpstr>
      <vt:lpstr>Extra - Exercício 12</vt:lpstr>
      <vt:lpstr>holidays</vt:lpstr>
    </vt:vector>
  </TitlesOfParts>
  <Company>BVM&amp;F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usrprof</dc:creator>
  <cp:lastModifiedBy>Fábio Couto Araujo</cp:lastModifiedBy>
  <dcterms:created xsi:type="dcterms:W3CDTF">2015-07-02T23:16:39Z</dcterms:created>
  <dcterms:modified xsi:type="dcterms:W3CDTF">2018-09-25T02:31:33Z</dcterms:modified>
</cp:coreProperties>
</file>